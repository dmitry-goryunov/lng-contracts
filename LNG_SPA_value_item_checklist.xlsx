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mplate" sheetId="2" state="visible" r:id="rId4"/>
    <sheet name="Matrix_8_contracts" sheetId="3" state="visible" r:id="rId5"/>
    <sheet name="Holder_Inputs" sheetId="4" state="visible" r:id="rId6"/>
  </sheets>
  <definedNames>
    <definedName function="false" hidden="true" localSheetId="2" name="_xlnm._FilterDatabase" vbProcedure="false">Matrix_8_contracts!$A$3:$O$88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<sst xmlns="http://schemas.openxmlformats.org/spreadsheetml/2006/main" count="2071" uniqueCount="741">
  <si>
    <t xml:space="preserve">LNG SPA / GSA value-item checklist</t>
  </si>
  <si>
    <t xml:space="preserve">Purpose</t>
  </si>
  <si>
    <t xml:space="preserve">Decompose one LNG SPA into checkable value items: price, start, end, yearly flexibilities, optionalities, plus supporting terms that change their value.</t>
  </si>
  <si>
    <t xml:space="preserve">How to use</t>
  </si>
  <si>
    <t xml:space="preserve">1) Copy the Template sheet, one per contract. 2) Work top to bottom; record values verbatim with clause references. 3) Set Status per row. 4) Compare contracts on the Matrix sheet and RAG-score.</t>
  </si>
  <si>
    <t xml:space="preserve">Status codes</t>
  </si>
  <si>
    <t xml:space="preserve">Extracted = value recorded from the text. Redacted = clause found, number hidden. Not found = searched, absent. Not reviewed = not yet checked. N/A = structurally inapplicable.</t>
  </si>
  <si>
    <t xml:space="preserve">RAG codes</t>
  </si>
  <si>
    <t xml:space="preserve">RED = visible economic difference. AMBER = similar framework, unresolved caveats. GREEN = no material difference detected. ACQ is a scale input, never RAG-scored.</t>
  </si>
  <si>
    <t xml:space="preserve">Epistemic rules</t>
  </si>
  <si>
    <t xml:space="preserve">Never guess a redacted number; treat redacted constants as scenario inputs. Distinguish fact / inference / unknown. 'Not reviewed in deck' means the source decks did not cover the item, not that the contract lacks it.</t>
  </si>
  <si>
    <t xml:space="preserve">Sources</t>
  </si>
  <si>
    <t xml:space="preserve">Pre-filled Matrix entries come only from: cheniere_sabine_pass_spa_standalone_economic_terms.pptx and driftwood_lng_spa_economic_terms_comparison_formula_signature_updated.pptx (this folder). Verify against the filed agreements before relying on any figure.</t>
  </si>
  <si>
    <t xml:space="preserve">Companion file</t>
  </si>
  <si>
    <t xml:space="preserve">LNG_SPA_value_item_checklist.md holds the methodology and the same checklist in portable form.</t>
  </si>
  <si>
    <t xml:space="preserve">Term type</t>
  </si>
  <si>
    <t xml:space="preserve">Cash-flow = feeds the base DCF strip. Option = embedded optionality; requires option-adjusted valuation (Monte Carlo / LSMC / spread-option methods), not static DCF. Risk-structural = changes risk, credit or enforceability rather than the base strip. Context = identity and reference data.</t>
  </si>
  <si>
    <t xml:space="preserve">Hedgeability</t>
  </si>
  <si>
    <t xml:space="preserve">Curve = hedgeable against liquid benchmarks (Brent, HH, TTF, JKM, FX, SOFR). Spread = hedgeable as a location, time or freight spread. Residual = imperfectly hedgeable; goes on the basis-risk register. Tags are indicative defaults; review per contract.</t>
  </si>
  <si>
    <t xml:space="preserve">Enforceability rule</t>
  </si>
  <si>
    <t xml:space="preserve">Before assigning value to any Option row (destination, rejection, deferral, price review), check legal and competition-law enforceability (F13). If exercise is uncertain, haircut or exclude the option value.</t>
  </si>
  <si>
    <t xml:space="preserve">Holder inputs</t>
  </si>
  <si>
    <t xml:space="preserve">The Holder_Inputs sheet lists valuation inputs that are NOT contract terms (freight, regas tariffs, FX, discounting, downstream use value). Keep them separate from extracted contract facts.</t>
  </si>
  <si>
    <t xml:space="preserve">v2 update</t>
  </si>
  <si>
    <t xml:space="preserve">5 Jul 2026: folded in improvements from 'LNG Contract Valuation and Hedging.docx': rows D13, E13, E14, F10-F13, I8 added; G1 enriched with period basis; Term type and Hedgeability columns; Holder_Inputs sheet.</t>
  </si>
  <si>
    <t xml:space="preserve">Contract:</t>
  </si>
  <si>
    <t xml:space="preserve">&lt;name&gt;</t>
  </si>
  <si>
    <t xml:space="preserve">Items:</t>
  </si>
  <si>
    <t xml:space="preserve">Extracted:</t>
  </si>
  <si>
    <t xml:space="preserve">Open (blank/Not reviewed):</t>
  </si>
  <si>
    <t xml:space="preserve">ID</t>
  </si>
  <si>
    <t xml:space="preserve">Category</t>
  </si>
  <si>
    <t xml:space="preserve">Value item</t>
  </si>
  <si>
    <t xml:space="preserve">What to record</t>
  </si>
  <si>
    <t xml:space="preserve">Typical clause location</t>
  </si>
  <si>
    <t xml:space="preserve">Why it matters for value</t>
  </si>
  <si>
    <t xml:space="preserve">Status</t>
  </si>
  <si>
    <t xml:space="preserve">Value found</t>
  </si>
  <si>
    <t xml:space="preserve">Clause ref</t>
  </si>
  <si>
    <t xml:space="preserve">RAG</t>
  </si>
  <si>
    <t xml:space="preserve">Notes</t>
  </si>
  <si>
    <t xml:space="preserve">A1</t>
  </si>
  <si>
    <t xml:space="preserve">A. Identity and status</t>
  </si>
  <si>
    <t xml:space="preserve">Seller entity</t>
  </si>
  <si>
    <t xml:space="preserve">Legal name; SPV or sponsor</t>
  </si>
  <si>
    <t xml:space="preserve">Preamble</t>
  </si>
  <si>
    <t xml:space="preserve">Recourse and project risk sit with the SPV, not the sponsor</t>
  </si>
  <si>
    <t xml:space="preserve">Context</t>
  </si>
  <si>
    <t xml:space="preserve">n/a</t>
  </si>
  <si>
    <t xml:space="preserve">A2</t>
  </si>
  <si>
    <t xml:space="preserve">Buyer entity</t>
  </si>
  <si>
    <t xml:space="preserve">Legal name; affiliate status</t>
  </si>
  <si>
    <t xml:space="preserve">Determines credit risk and guarantee need</t>
  </si>
  <si>
    <t xml:space="preserve">A3</t>
  </si>
  <si>
    <t xml:space="preserve">Guarantor / credit support provider</t>
  </si>
  <si>
    <t xml:space="preserve">Named provider and form of support</t>
  </si>
  <si>
    <t xml:space="preserve">Credit support clause</t>
  </si>
  <si>
    <t xml:space="preserve">Actual credit exposure is to the support provider</t>
  </si>
  <si>
    <t xml:space="preserve">A4</t>
  </si>
  <si>
    <t xml:space="preserve">Signature / effective date</t>
  </si>
  <si>
    <t xml:space="preserve">Both dates if different</t>
  </si>
  <si>
    <t xml:space="preserve">Preamble / signature page</t>
  </si>
  <si>
    <t xml:space="preserve">Fixes vintage of price constants and CPI base</t>
  </si>
  <si>
    <t xml:space="preserve">A5</t>
  </si>
  <si>
    <t xml:space="preserve">Conditions precedent: substance</t>
  </si>
  <si>
    <t xml:space="preserve">FID, FNTP, approvals</t>
  </si>
  <si>
    <t xml:space="preserve">CP article</t>
  </si>
  <si>
    <t xml:space="preserve">Contract may never start; value is conditional</t>
  </si>
  <si>
    <t xml:space="preserve">A6</t>
  </si>
  <si>
    <t xml:space="preserve">CP long-stop deadline</t>
  </si>
  <si>
    <t xml:space="preserve">Date and termination consequence</t>
  </si>
  <si>
    <t xml:space="preserve">Free option against the counterparty until the deadline</t>
  </si>
  <si>
    <t xml:space="preserve">Risk-structural</t>
  </si>
  <si>
    <t xml:space="preserve">A7</t>
  </si>
  <si>
    <t xml:space="preserve">Project linkage</t>
  </si>
  <si>
    <t xml:space="preserve">Train/plant definitions; DFCD triggers</t>
  </si>
  <si>
    <t xml:space="preserve">Definitions</t>
  </si>
  <si>
    <t xml:space="preserve">Start and ramp depend on project milestones, not calendar dates</t>
  </si>
  <si>
    <t xml:space="preserve">A8</t>
  </si>
  <si>
    <t xml:space="preserve">Related agreements</t>
  </si>
  <si>
    <t xml:space="preserve">Twin SPAs; terminal / infrastructure exhibits</t>
  </si>
  <si>
    <t xml:space="preserve">Recitals / exhibits</t>
  </si>
  <si>
    <t xml:space="preserve">Cross-contract effects on capacity, liability and disputes</t>
  </si>
  <si>
    <t xml:space="preserve">B1</t>
  </si>
  <si>
    <t xml:space="preserve">B. Term: start</t>
  </si>
  <si>
    <t xml:space="preserve">Start trigger definition</t>
  </si>
  <si>
    <t xml:space="preserve">DFCD / first commercial delivery definition</t>
  </si>
  <si>
    <t xml:space="preserve">Definitions / term article</t>
  </si>
  <si>
    <t xml:space="preserve">Start of obligations is event-driven; drives PV timing</t>
  </si>
  <si>
    <t xml:space="preserve">B2</t>
  </si>
  <si>
    <t xml:space="preserve">Early volumes before full start</t>
  </si>
  <si>
    <t xml:space="preserve">Early cargoes, bridging volumes, early windows</t>
  </si>
  <si>
    <t xml:space="preserve">Start-up provisions</t>
  </si>
  <si>
    <t xml:space="preserve">Pre-COD cargoes can carry different price and flex terms</t>
  </si>
  <si>
    <t xml:space="preserve">Cash-flow</t>
  </si>
  <si>
    <t xml:space="preserve">B3</t>
  </si>
  <si>
    <t xml:space="preserve">Start-delay rights</t>
  </si>
  <si>
    <t xml:space="preserve">Termination / deferral after delay; FM long-stop caps</t>
  </si>
  <si>
    <t xml:space="preserve">Term article</t>
  </si>
  <si>
    <t xml:space="preserve">Downside protection and walk-away optionality</t>
  </si>
  <si>
    <t xml:space="preserve">Option</t>
  </si>
  <si>
    <t xml:space="preserve">B4</t>
  </si>
  <si>
    <t xml:space="preserve">Ramp / start-up quantity</t>
  </si>
  <si>
    <t xml:space="preserve">Level and duration</t>
  </si>
  <si>
    <t xml:space="preserve">Quantity article</t>
  </si>
  <si>
    <t xml:space="preserve">Reduced early volumes change early-year cashflows</t>
  </si>
  <si>
    <t xml:space="preserve">C1</t>
  </si>
  <si>
    <t xml:space="preserve">C. Term: end and extensions</t>
  </si>
  <si>
    <t xml:space="preserve">Base term</t>
  </si>
  <si>
    <t xml:space="preserve">Length and trigger</t>
  </si>
  <si>
    <t xml:space="preserve">Core duration of cashflows</t>
  </si>
  <si>
    <t xml:space="preserve">C2</t>
  </si>
  <si>
    <t xml:space="preserve">End-date mechanics</t>
  </si>
  <si>
    <t xml:space="preserve">Fixed expiry vs completion of quantities</t>
  </si>
  <si>
    <t xml:space="preserve">Tail value and last-year proration</t>
  </si>
  <si>
    <t xml:space="preserve">C3</t>
  </si>
  <si>
    <t xml:space="preserve">Extension options: number and length</t>
  </si>
  <si>
    <t xml:space="preserve">e.g. 2 x 5 years</t>
  </si>
  <si>
    <t xml:space="preserve">Buyer-held term optionality</t>
  </si>
  <si>
    <t xml:space="preserve">Residual</t>
  </si>
  <si>
    <t xml:space="preserve">C4</t>
  </si>
  <si>
    <t xml:space="preserve">Extension election and notice</t>
  </si>
  <si>
    <t xml:space="preserve">Electing party; notice deadline</t>
  </si>
  <si>
    <t xml:space="preserve">Option exercise boundary; affects option value</t>
  </si>
  <si>
    <t xml:space="preserve">C5</t>
  </si>
  <si>
    <t xml:space="preserve">Extension conditions</t>
  </si>
  <si>
    <t xml:space="preserve">Approvals, export authorisations, utilisation</t>
  </si>
  <si>
    <t xml:space="preserve">Conditions can make the option unexercisable</t>
  </si>
  <si>
    <t xml:space="preserve">C6</t>
  </si>
  <si>
    <t xml:space="preserve">Extension-period price</t>
  </si>
  <si>
    <t xml:space="preserve">Same formula, reset, or new constants</t>
  </si>
  <si>
    <t xml:space="preserve">Price article</t>
  </si>
  <si>
    <t xml:space="preserve">The option is on price as well as term</t>
  </si>
  <si>
    <t xml:space="preserve">C7</t>
  </si>
  <si>
    <t xml:space="preserve">Early termination triggers</t>
  </si>
  <si>
    <t xml:space="preserve">Default, prolonged FM, delay</t>
  </si>
  <si>
    <t xml:space="preserve">Termination article</t>
  </si>
  <si>
    <t xml:space="preserve">Truncation risk on the value</t>
  </si>
  <si>
    <t xml:space="preserve">D1</t>
  </si>
  <si>
    <t xml:space="preserve">D. Volume and yearly flexibility</t>
  </si>
  <si>
    <t xml:space="preserve">ACQ / AACQ</t>
  </si>
  <si>
    <t xml:space="preserve">Size, unit, adjustment mechanics</t>
  </si>
  <si>
    <t xml:space="preserve">Scale input for all value calculations (not RAG-scored)</t>
  </si>
  <si>
    <t xml:space="preserve">D2</t>
  </si>
  <si>
    <t xml:space="preserve">Tranche structure</t>
  </si>
  <si>
    <t xml:space="preserve">Annual vs seasonal tranches</t>
  </si>
  <si>
    <t xml:space="preserve">Seasonal tranches carry different market value</t>
  </si>
  <si>
    <t xml:space="preserve">Spread</t>
  </si>
  <si>
    <t xml:space="preserve">D3</t>
  </si>
  <si>
    <t xml:space="preserve">Delivery shape</t>
  </si>
  <si>
    <t xml:space="preserve">Ratable vs seasonally weighted</t>
  </si>
  <si>
    <t xml:space="preserve">Scheduling article</t>
  </si>
  <si>
    <t xml:space="preserve">Winter weighting changes hedge and price exposure</t>
  </si>
  <si>
    <t xml:space="preserve">D4</t>
  </si>
  <si>
    <t xml:space="preserve">Scheduling process</t>
  </si>
  <si>
    <t xml:space="preserve">ADP, NDS, windows, change rights</t>
  </si>
  <si>
    <t xml:space="preserve">Operational flexibility hides here</t>
  </si>
  <si>
    <t xml:space="preserve">D5</t>
  </si>
  <si>
    <t xml:space="preserve">Cargo-lot rounding</t>
  </si>
  <si>
    <t xml:space="preserve">Round-up / round-down mechanics</t>
  </si>
  <si>
    <t xml:space="preserve">Volume noise, not a swing right</t>
  </si>
  <si>
    <t xml:space="preserve">D6</t>
  </si>
  <si>
    <t xml:space="preserve">Maintenance reduction cap</t>
  </si>
  <si>
    <t xml:space="preserve">% per year; cumulative cap</t>
  </si>
  <si>
    <t xml:space="preserve">Seller-held volume reduction option</t>
  </si>
  <si>
    <t xml:space="preserve">D7</t>
  </si>
  <si>
    <t xml:space="preserve">Inspection / other reduction caps</t>
  </si>
  <si>
    <t xml:space="preserve">% and the base it applies to</t>
  </si>
  <si>
    <t xml:space="preserve">Further seller reductions; base definition matters</t>
  </si>
  <si>
    <t xml:space="preserve">D8</t>
  </si>
  <si>
    <t xml:space="preserve">Buyer downward flexibility</t>
  </si>
  <si>
    <t xml:space="preserve">DQT, cancellation volumes</t>
  </si>
  <si>
    <t xml:space="preserve">Buyer volume put; core yearly flexibility</t>
  </si>
  <si>
    <t xml:space="preserve">D9</t>
  </si>
  <si>
    <t xml:space="preserve">Make-up / carry-forward</t>
  </si>
  <si>
    <t xml:space="preserve">Rights to recover or defer volumes</t>
  </si>
  <si>
    <t xml:space="preserve">Softens take-or-pay; time value of volumes</t>
  </si>
  <si>
    <t xml:space="preserve">D10</t>
  </si>
  <si>
    <t xml:space="preserve">Upward flexibility</t>
  </si>
  <si>
    <t xml:space="preserve">UQT, excess cargoes, spot rights</t>
  </si>
  <si>
    <t xml:space="preserve">Buyer call on extra volume</t>
  </si>
  <si>
    <t xml:space="preserve">D11</t>
  </si>
  <si>
    <t xml:space="preserve">Operational tolerance</t>
  </si>
  <si>
    <t xml:space="preserve">+/- per cargo; payment treatment</t>
  </si>
  <si>
    <t xml:space="preserve">Delivery / measurement</t>
  </si>
  <si>
    <t xml:space="preserve">Settlement noise; treatment of tolerance quantities</t>
  </si>
  <si>
    <t xml:space="preserve">D12</t>
  </si>
  <si>
    <t xml:space="preserve">First / final year proration</t>
  </si>
  <si>
    <t xml:space="preserve">Part-year quantity treatment</t>
  </si>
  <si>
    <t xml:space="preserve">Edge-year cashflows</t>
  </si>
  <si>
    <t xml:space="preserve">D13</t>
  </si>
  <si>
    <t xml:space="preserve">Imbalance / penalty charges</t>
  </si>
  <si>
    <t xml:space="preserve">Charge basis and rates for under / over-delivery</t>
  </si>
  <si>
    <t xml:space="preserve">Quantity / payment articles</t>
  </si>
  <si>
    <t xml:space="preserve">Standard cash-flow template driver; affects invoiced quantity economics</t>
  </si>
  <si>
    <t xml:space="preserve">E1</t>
  </si>
  <si>
    <t xml:space="preserve">E. Price</t>
  </si>
  <si>
    <t xml:space="preserve">Price architecture</t>
  </si>
  <si>
    <t xml:space="preserve">Single formula vs commodity + capacity; fixed separate or embedded</t>
  </si>
  <si>
    <t xml:space="preserve">Determines which cashflows survive non-lifting</t>
  </si>
  <si>
    <t xml:space="preserve">E2</t>
  </si>
  <si>
    <t xml:space="preserve">Commodity index / indices</t>
  </si>
  <si>
    <t xml:space="preserve">HH, JKM, TTF, Brent, blends</t>
  </si>
  <si>
    <t xml:space="preserve">Market exposure and hedge instruments</t>
  </si>
  <si>
    <t xml:space="preserve">Curve</t>
  </si>
  <si>
    <t xml:space="preserve">E3</t>
  </si>
  <si>
    <t xml:space="preserve">Slope / multiplier / weights</t>
  </si>
  <si>
    <t xml:space="preserve">Values or redaction status</t>
  </si>
  <si>
    <t xml:space="preserve">First-order value driver</t>
  </si>
  <si>
    <t xml:space="preserve">E4</t>
  </si>
  <si>
    <t xml:space="preserve">Constants: adders / discounts</t>
  </si>
  <si>
    <t xml:space="preserve">US$/MMBtu values; redaction status</t>
  </si>
  <si>
    <t xml:space="preserve">E5</t>
  </si>
  <si>
    <t xml:space="preserve">Floor / cap</t>
  </si>
  <si>
    <t xml:space="preserve">Levels; greater-of structures</t>
  </si>
  <si>
    <t xml:space="preserve">Embedded options in the price formula</t>
  </si>
  <si>
    <t xml:space="preserve">E6</t>
  </si>
  <si>
    <t xml:space="preserve">Fixed capacity component</t>
  </si>
  <si>
    <t xml:space="preserve">UFC/MSC formula or X0/Xy</t>
  </si>
  <si>
    <t xml:space="preserve">Price / quantity articles</t>
  </si>
  <si>
    <t xml:space="preserve">Fixed leg size and invoicing route</t>
  </si>
  <si>
    <t xml:space="preserve">E7</t>
  </si>
  <si>
    <t xml:space="preserve">Escalation</t>
  </si>
  <si>
    <t xml:space="preserve">CPI weight; CPI0 base convention</t>
  </si>
  <si>
    <t xml:space="preserve">Inflation exposure of the fixed leg</t>
  </si>
  <si>
    <t xml:space="preserve">E8</t>
  </si>
  <si>
    <t xml:space="preserve">FX conversion</t>
  </si>
  <si>
    <t xml:space="preserve">Source and fixing time</t>
  </si>
  <si>
    <t xml:space="preserve">Price definitions</t>
  </si>
  <si>
    <t xml:space="preserve">Settlement basis risk; ECB and 16:00 London fixings need not coincide</t>
  </si>
  <si>
    <t xml:space="preserve">E9</t>
  </si>
  <si>
    <t xml:space="preserve">Pricing month / window</t>
  </si>
  <si>
    <t xml:space="preserve">Definition of M; averaging window</t>
  </si>
  <si>
    <t xml:space="preserve">Hedge timing; asymmetric redactions here</t>
  </si>
  <si>
    <t xml:space="preserve">E10</t>
  </si>
  <si>
    <t xml:space="preserve">Index fallback</t>
  </si>
  <si>
    <t xml:space="preserve">Market disruption provisions</t>
  </si>
  <si>
    <t xml:space="preserve">Tail risk if the index ceases</t>
  </si>
  <si>
    <t xml:space="preserve">E11</t>
  </si>
  <si>
    <t xml:space="preserve">Price review / reopener</t>
  </si>
  <si>
    <t xml:space="preserve">Trigger, frequency, scope</t>
  </si>
  <si>
    <t xml:space="preserve">Reopener risk to long-term value</t>
  </si>
  <si>
    <t xml:space="preserve">E12</t>
  </si>
  <si>
    <t xml:space="preserve">Late-payment interest</t>
  </si>
  <si>
    <t xml:space="preserve">Basis and margin</t>
  </si>
  <si>
    <t xml:space="preserve">Payment article</t>
  </si>
  <si>
    <t xml:space="preserve">Credit cost of delay</t>
  </si>
  <si>
    <t xml:space="preserve">E13</t>
  </si>
  <si>
    <t xml:space="preserve">S-curve / slope bands</t>
  </si>
  <si>
    <t xml:space="preserve">Band thresholds and slopes either side; any caps built into the formula</t>
  </si>
  <si>
    <t xml:space="preserve">Kinked slopes change payoff convexity and hedge ratios (common in oil-linked SPAs)</t>
  </si>
  <si>
    <t xml:space="preserve">E14</t>
  </si>
  <si>
    <t xml:space="preserve">Index lag convention</t>
  </si>
  <si>
    <t xml:space="preserve">Lag L in index observation, e.g. slope x index(t-L)</t>
  </si>
  <si>
    <t xml:space="preserve">Hedge timing and cash-flow mapping depend on the lag</t>
  </si>
  <si>
    <t xml:space="preserve">F1</t>
  </si>
  <si>
    <t xml:space="preserve">F. Optionality</t>
  </si>
  <si>
    <t xml:space="preserve">Term extension options</t>
  </si>
  <si>
    <t xml:space="preserve">Cross-reference C3-C6</t>
  </si>
  <si>
    <t xml:space="preserve">Headline optionality</t>
  </si>
  <si>
    <t xml:space="preserve">F2</t>
  </si>
  <si>
    <t xml:space="preserve">Cargo cancellation right</t>
  </si>
  <si>
    <t xml:space="preserve">Notice, fee, which charges survive</t>
  </si>
  <si>
    <t xml:space="preserve">Quantity / price articles</t>
  </si>
  <si>
    <t xml:space="preserve">Buyer put; value depends on what survives</t>
  </si>
  <si>
    <t xml:space="preserve">F3</t>
  </si>
  <si>
    <t xml:space="preserve">Suspension right</t>
  </si>
  <si>
    <t xml:space="preserve">Fee mechanics; duration</t>
  </si>
  <si>
    <t xml:space="preserve">Buyer pause option with a fee</t>
  </si>
  <si>
    <t xml:space="preserve">F4</t>
  </si>
  <si>
    <t xml:space="preserve">Capacity-charge survival on non-lifting</t>
  </si>
  <si>
    <t xml:space="preserve">Does the fixed leg continue?</t>
  </si>
  <si>
    <t xml:space="preserve">Core Cheniere-style distinction: cancelled cargo is not 'no cargo, no price'</t>
  </si>
  <si>
    <t xml:space="preserve">F5</t>
  </si>
  <si>
    <t xml:space="preserve">Destination flexibility</t>
  </si>
  <si>
    <t xml:space="preserve">Restrictions; diversion consent</t>
  </si>
  <si>
    <t xml:space="preserve">Delivery article</t>
  </si>
  <si>
    <t xml:space="preserve">Geographic arbitrage value</t>
  </si>
  <si>
    <t xml:space="preserve">F6</t>
  </si>
  <si>
    <t xml:space="preserve">Alternate source delivery</t>
  </si>
  <si>
    <t xml:space="preserve">Seller substitution right; conditions</t>
  </si>
  <si>
    <t xml:space="preserve">Supply security and quality variation</t>
  </si>
  <si>
    <t xml:space="preserve">F7</t>
  </si>
  <si>
    <t xml:space="preserve">Upstream FM HH-basis election</t>
  </si>
  <si>
    <t xml:space="preserve">Buyer election of HH-priced replacement cargoes</t>
  </si>
  <si>
    <t xml:space="preserve">FM article</t>
  </si>
  <si>
    <t xml:space="preserve">Replacement-price mitigant in shortage</t>
  </si>
  <si>
    <t xml:space="preserve">F8</t>
  </si>
  <si>
    <t xml:space="preserve">Seasonal / tranche elections</t>
  </si>
  <si>
    <t xml:space="preserve">Rights to move volume between periods</t>
  </si>
  <si>
    <t xml:space="preserve">Calendar-spread optionality</t>
  </si>
  <si>
    <t xml:space="preserve">F9</t>
  </si>
  <si>
    <t xml:space="preserve">Multiple-SPA coordination</t>
  </si>
  <si>
    <t xml:space="preserve">Cross-default, consolidation, shared caps</t>
  </si>
  <si>
    <t xml:space="preserve">Miscellaneous</t>
  </si>
  <si>
    <t xml:space="preserve">Portfolio effects across twin contracts</t>
  </si>
  <si>
    <t xml:space="preserve">F10</t>
  </si>
  <si>
    <t xml:space="preserve">Cargo deferral / rescheduling right</t>
  </si>
  <si>
    <t xml:space="preserve">Notice, limits, price treatment of moved cargoes</t>
  </si>
  <si>
    <t xml:space="preserve">Time-spread option on delivery windows</t>
  </si>
  <si>
    <t xml:space="preserve">F11</t>
  </si>
  <si>
    <t xml:space="preserve">Reload / re-export rights</t>
  </si>
  <si>
    <t xml:space="preserve">Any right to reload or re-export delivered cargoes</t>
  </si>
  <si>
    <t xml:space="preserve">Adds spread optionality; standalone value in tight prompt markets</t>
  </si>
  <si>
    <t xml:space="preserve">F12</t>
  </si>
  <si>
    <t xml:space="preserve">Diversion cost and profit-sharing</t>
  </si>
  <si>
    <t xml:space="preserve">Diversion fee (US$/MMBtu) and any profit-share on diverted cargoes</t>
  </si>
  <si>
    <t xml:space="preserve">Delivery / destination clauses</t>
  </si>
  <si>
    <t xml:space="preserve">Profit-share claws back part of the destination spread option (JFTC-flagged term)</t>
  </si>
  <si>
    <t xml:space="preserve">F13</t>
  </si>
  <si>
    <t xml:space="preserve">Enforceability of option rights</t>
  </si>
  <si>
    <t xml:space="preserve">Legal / competition-law constraints on destination, rejection, deferral and review rights</t>
  </si>
  <si>
    <t xml:space="preserve">Whole contract plus regulatory context</t>
  </si>
  <si>
    <t xml:space="preserve">Do not assign full option value to rights that are not clearly enforceable</t>
  </si>
  <si>
    <t xml:space="preserve">G1</t>
  </si>
  <si>
    <t xml:space="preserve">G. Non-delivery and remedies</t>
  </si>
  <si>
    <t xml:space="preserve">Take-or-pay / shortfall basis</t>
  </si>
  <si>
    <t xml:space="preserve">% of ACQ; period basis (annual / quarterly / monthly / cargo); reference price</t>
  </si>
  <si>
    <t xml:space="preserve">Quantity / remedies</t>
  </si>
  <si>
    <t xml:space="preserve">Floor on seller revenue; buyer's minimum bill; period basis changes option value</t>
  </si>
  <si>
    <t xml:space="preserve">G2</t>
  </si>
  <si>
    <t xml:space="preserve">Cover damages</t>
  </si>
  <si>
    <t xml:space="preserve">Formula and reference price</t>
  </si>
  <si>
    <t xml:space="preserve">Remedies article</t>
  </si>
  <si>
    <t xml:space="preserve">Buyer failure-to-take economics</t>
  </si>
  <si>
    <t xml:space="preserve">G3</t>
  </si>
  <si>
    <t xml:space="preserve">Seller DoP</t>
  </si>
  <si>
    <t xml:space="preserve">Formula and caps</t>
  </si>
  <si>
    <t xml:space="preserve">Seller failure-to-deliver economics</t>
  </si>
  <si>
    <t xml:space="preserve">G4</t>
  </si>
  <si>
    <t xml:space="preserve">Damages reference price</t>
  </si>
  <si>
    <t xml:space="preserve">CSP vs CSP minus UFC</t>
  </si>
  <si>
    <t xml:space="preserve">Separated fixed charges change damage quantum</t>
  </si>
  <si>
    <t xml:space="preserve">G5</t>
  </si>
  <si>
    <t xml:space="preserve">Mitigation / resale</t>
  </si>
  <si>
    <t xml:space="preserve">In-tank resale; mitigation duties</t>
  </si>
  <si>
    <t xml:space="preserve">Reduces gross exposure</t>
  </si>
  <si>
    <t xml:space="preserve">G6</t>
  </si>
  <si>
    <t xml:space="preserve">FM effect on fixed charges</t>
  </si>
  <si>
    <t xml:space="preserve">Are capacity charges reduced during FM?</t>
  </si>
  <si>
    <t xml:space="preserve">FM / price articles</t>
  </si>
  <si>
    <t xml:space="preserve">FM tail risk on the fixed leg</t>
  </si>
  <si>
    <t xml:space="preserve">H1</t>
  </si>
  <si>
    <t xml:space="preserve">H. Credit and structure</t>
  </si>
  <si>
    <t xml:space="preserve">Buyer credit support</t>
  </si>
  <si>
    <t xml:space="preserve">Guaranty, LC, TNW triggers, timing</t>
  </si>
  <si>
    <t xml:space="preserve">Credit article</t>
  </si>
  <si>
    <t xml:space="preserve">CVA input</t>
  </si>
  <si>
    <t xml:space="preserve">H2</t>
  </si>
  <si>
    <t xml:space="preserve">Guaranty cap</t>
  </si>
  <si>
    <t xml:space="preserve">Amount or redaction</t>
  </si>
  <si>
    <t xml:space="preserve">Limits recoverable exposure</t>
  </si>
  <si>
    <t xml:space="preserve">H3</t>
  </si>
  <si>
    <t xml:space="preserve">Seller credit support</t>
  </si>
  <si>
    <t xml:space="preserve">Any seller-side support</t>
  </si>
  <si>
    <t xml:space="preserve">Pre-COD seller performance risk</t>
  </si>
  <si>
    <t xml:space="preserve">H4</t>
  </si>
  <si>
    <t xml:space="preserve">Liability caps</t>
  </si>
  <si>
    <t xml:space="preserve">Aggregate and per-event caps</t>
  </si>
  <si>
    <t xml:space="preserve">Liability article</t>
  </si>
  <si>
    <t xml:space="preserve">Bounds on damage claims</t>
  </si>
  <si>
    <t xml:space="preserve">H5</t>
  </si>
  <si>
    <t xml:space="preserve">Lender / direct agreement</t>
  </si>
  <si>
    <t xml:space="preserve">Project finance provisions</t>
  </si>
  <si>
    <t xml:space="preserve">Financing article</t>
  </si>
  <si>
    <t xml:space="preserve">Step-in and enforceability</t>
  </si>
  <si>
    <t xml:space="preserve">H6</t>
  </si>
  <si>
    <t xml:space="preserve">Assignment</t>
  </si>
  <si>
    <t xml:space="preserve">Scope and consent</t>
  </si>
  <si>
    <t xml:space="preserve">Assignment article</t>
  </si>
  <si>
    <t xml:space="preserve">Transferability of contract value</t>
  </si>
  <si>
    <t xml:space="preserve">I1</t>
  </si>
  <si>
    <t xml:space="preserve">I. Delivery, quality and FM</t>
  </si>
  <si>
    <t xml:space="preserve">Delivery point / incoterm</t>
  </si>
  <si>
    <t xml:space="preserve">FOB / DES / CIF; location</t>
  </si>
  <si>
    <t xml:space="preserve">Who carries shipping value and cost</t>
  </si>
  <si>
    <t xml:space="preserve">I2</t>
  </si>
  <si>
    <t xml:space="preserve">Title and risk</t>
  </si>
  <si>
    <t xml:space="preserve">Transfer point</t>
  </si>
  <si>
    <t xml:space="preserve">Loss allocation</t>
  </si>
  <si>
    <t xml:space="preserve">I3</t>
  </si>
  <si>
    <t xml:space="preserve">Shipping and tankers</t>
  </si>
  <si>
    <t xml:space="preserve">Provider; approval and change rights</t>
  </si>
  <si>
    <t xml:space="preserve">Shipping article</t>
  </si>
  <si>
    <t xml:space="preserve">Fleet flexibility</t>
  </si>
  <si>
    <t xml:space="preserve">I4</t>
  </si>
  <si>
    <t xml:space="preserve">Laytime / demurrage / port services</t>
  </si>
  <si>
    <t xml:space="preserve">Rates and allocation</t>
  </si>
  <si>
    <t xml:space="preserve">Operational cost class</t>
  </si>
  <si>
    <t xml:space="preserve">I5</t>
  </si>
  <si>
    <t xml:space="preserve">Quality and off-spec</t>
  </si>
  <si>
    <t xml:space="preserve">Spec; off-spec remedies</t>
  </si>
  <si>
    <t xml:space="preserve">Quality article</t>
  </si>
  <si>
    <t xml:space="preserve">Off-spec discount or rejection economics</t>
  </si>
  <si>
    <t xml:space="preserve">I6</t>
  </si>
  <si>
    <t xml:space="preserve">Measurement</t>
  </si>
  <si>
    <t xml:space="preserve">Units and testing</t>
  </si>
  <si>
    <t xml:space="preserve">Measurement article</t>
  </si>
  <si>
    <t xml:space="preserve">Settlement basis</t>
  </si>
  <si>
    <t xml:space="preserve">I7</t>
  </si>
  <si>
    <t xml:space="preserve">FM architecture and allocation</t>
  </si>
  <si>
    <t xml:space="preserve">Scope, notice, pro-rata allocation</t>
  </si>
  <si>
    <t xml:space="preserve">Excuse scope and shortage allocation</t>
  </si>
  <si>
    <t xml:space="preserve">I8</t>
  </si>
  <si>
    <t xml:space="preserve">DES-specific delivery terms</t>
  </si>
  <si>
    <t xml:space="preserve">Seller shipping / discharge obligations, demurrage allocation, destination port mechanics</t>
  </si>
  <si>
    <t xml:space="preserve">Delivery / shipping articles</t>
  </si>
  <si>
    <t xml:space="preserve">DES reverses freight cost and risk allocation relative to FOB</t>
  </si>
  <si>
    <t xml:space="preserve">J1</t>
  </si>
  <si>
    <t xml:space="preserve">J. Governance and other</t>
  </si>
  <si>
    <t xml:space="preserve">Invoicing and payment</t>
  </si>
  <si>
    <t xml:space="preserve">Cycle, currency, dates</t>
  </si>
  <si>
    <t xml:space="preserve">Working capital</t>
  </si>
  <si>
    <t xml:space="preserve">J2</t>
  </si>
  <si>
    <t xml:space="preserve">Taxes</t>
  </si>
  <si>
    <t xml:space="preserve">Allocation</t>
  </si>
  <si>
    <t xml:space="preserve">Tax article</t>
  </si>
  <si>
    <t xml:space="preserve">Net price impact</t>
  </si>
  <si>
    <t xml:space="preserve">J3</t>
  </si>
  <si>
    <t xml:space="preserve">Disputes</t>
  </si>
  <si>
    <t xml:space="preserve">Forum; consolidation across twin SPAs</t>
  </si>
  <si>
    <t xml:space="preserve">Disputes article</t>
  </si>
  <si>
    <t xml:space="preserve">Enforcement; twin-SPA procedural effects</t>
  </si>
  <si>
    <t xml:space="preserve">J4</t>
  </si>
  <si>
    <t xml:space="preserve">Sanctions / trade law</t>
  </si>
  <si>
    <t xml:space="preserve">Restrictions</t>
  </si>
  <si>
    <t xml:space="preserve">Compliance article</t>
  </si>
  <si>
    <t xml:space="preserve">Destination and counterparty limits</t>
  </si>
  <si>
    <t xml:space="preserve">J5</t>
  </si>
  <si>
    <t xml:space="preserve">ESG / emissions / HSEC</t>
  </si>
  <si>
    <t xml:space="preserve">Data, cost, incentives</t>
  </si>
  <si>
    <t xml:space="preserve">ESG articles</t>
  </si>
  <si>
    <t xml:space="preserve">Emerging cost and reporting class</t>
  </si>
  <si>
    <t xml:space="preserve">J6</t>
  </si>
  <si>
    <t xml:space="preserve">Confidentiality</t>
  </si>
  <si>
    <t xml:space="preserve">Scope</t>
  </si>
  <si>
    <t xml:space="preserve">Confidentiality article</t>
  </si>
  <si>
    <t xml:space="preserve">Limits information use</t>
  </si>
  <si>
    <t xml:space="preserve">Pre-filled from the two source decks only. 'Not reviewed in deck' = item not covered there. Redacted values shown as [***]; never guess them. Term-type and hedgeability tags are indicative defaults; review per contract. SPL = Sabine Pass Liquefaction; DWL = Driftwood LNG.</t>
  </si>
  <si>
    <t xml:space="preserve">BG (SPL)</t>
  </si>
  <si>
    <t xml:space="preserve">Gas Natural Fenosa (SPL)</t>
  </si>
  <si>
    <t xml:space="preserve">GAIL (SPL)</t>
  </si>
  <si>
    <t xml:space="preserve">Total (SPL)</t>
  </si>
  <si>
    <t xml:space="preserve">Vitol (DWL)</t>
  </si>
  <si>
    <t xml:space="preserve">Gunvor (DWL)</t>
  </si>
  <si>
    <t xml:space="preserve">Shell SPA1 JKM (DWL)</t>
  </si>
  <si>
    <t xml:space="preserve">Shell SPA2 TTF (DWL)</t>
  </si>
  <si>
    <t xml:space="preserve">RAG Cheniere set</t>
  </si>
  <si>
    <t xml:space="preserve">RAG Driftwood set</t>
  </si>
  <si>
    <t xml:space="preserve">Sabine Pass Liquefaction, LLC</t>
  </si>
  <si>
    <t xml:space="preserve">Driftwood LNG LLC</t>
  </si>
  <si>
    <t xml:space="preserve">GREEN</t>
  </si>
  <si>
    <t xml:space="preserve">BG Gulf Coast LNG</t>
  </si>
  <si>
    <t xml:space="preserve">Gas Natural Aprovisionamientos</t>
  </si>
  <si>
    <t xml:space="preserve">GAIL (India) Limited</t>
  </si>
  <si>
    <t xml:space="preserve">Total Gas &amp; Power North America</t>
  </si>
  <si>
    <t xml:space="preserve">Vitol Inc.</t>
  </si>
  <si>
    <t xml:space="preserve">Gunvor Singapore Pte Ltd</t>
  </si>
  <si>
    <t xml:space="preserve">Shell NA LNG LLC</t>
  </si>
  <si>
    <t xml:space="preserve">AMBER</t>
  </si>
  <si>
    <t xml:space="preserve">Buyer-specific; terms not extracted in deck</t>
  </si>
  <si>
    <t xml:space="preserve">Named guarantor / TNW / LC mechanics</t>
  </si>
  <si>
    <t xml:space="preserve">Named guarantor; guaranty cap defined, amount redacted</t>
  </si>
  <si>
    <t xml:space="preserve">Generic acceptable credit support</t>
  </si>
  <si>
    <t xml:space="preserve">RED</t>
  </si>
  <si>
    <t xml:space="preserve">25 Oct 2011</t>
  </si>
  <si>
    <t xml:space="preserve">21 Nov 2011</t>
  </si>
  <si>
    <t xml:space="preserve">11 Dec 2011</t>
  </si>
  <si>
    <t xml:space="preserve">14 Dec 2012</t>
  </si>
  <si>
    <t xml:space="preserve">2 Jun 2021</t>
  </si>
  <si>
    <t xml:space="preserve">27 May 2021</t>
  </si>
  <si>
    <t xml:space="preserve">29 Jul 2021</t>
  </si>
  <si>
    <t xml:space="preserve">N/A</t>
  </si>
  <si>
    <t xml:space="preserve">Present; not compared in deck</t>
  </si>
  <si>
    <t xml:space="preserve">FID-based CP; same concept, drafting differs</t>
  </si>
  <si>
    <t xml:space="preserve">Not reviewed in deck</t>
  </si>
  <si>
    <t xml:space="preserve">31 Jul 2022</t>
  </si>
  <si>
    <t xml:space="preserve">31 Dec 2022 (later; effort wording also differs)</t>
  </si>
  <si>
    <t xml:space="preserve">Not stated in deck</t>
  </si>
  <si>
    <t xml:space="preserve">-</t>
  </si>
  <si>
    <t xml:space="preserve">DFCD-based; 20y term runs from DFCD</t>
  </si>
  <si>
    <t xml:space="preserve">DFCD-based; 455-day FM deferral cap visible</t>
  </si>
  <si>
    <t xml:space="preserve">First/Second DFCD structure; express post-CP pipeline FNTP effort; possible Plant 2 cancellation wording</t>
  </si>
  <si>
    <t xml:space="preserve">First/Second DFCD structure</t>
  </si>
  <si>
    <t xml:space="preserve">Terminal/cooperation/tug/transport exhibits visible</t>
  </si>
  <si>
    <t xml:space="preserve">Not same exhibit set highlighted in deck</t>
  </si>
  <si>
    <t xml:space="preserve">None found</t>
  </si>
  <si>
    <t xml:space="preserve">Twin SPA with SPA2; coordination clause, separate caps</t>
  </si>
  <si>
    <t xml:space="preserve">Twin SPA with SPA1; coordination clause, separate caps</t>
  </si>
  <si>
    <t xml:space="preserve">DFCD per definitions</t>
  </si>
  <si>
    <t xml:space="preserve">First DFCD</t>
  </si>
  <si>
    <t xml:space="preserve">Early Cargoes; pre-commercial cargo pricing seen</t>
  </si>
  <si>
    <t xml:space="preserve">None highlighted in deck</t>
  </si>
  <si>
    <t xml:space="preserve">Bridging Volumes</t>
  </si>
  <si>
    <t xml:space="preserve">Early First Window Period</t>
  </si>
  <si>
    <t xml:space="preserve">Buyer right after DFCD delay; seller has corresponding mechanics</t>
  </si>
  <si>
    <t xml:space="preserve">Similar</t>
  </si>
  <si>
    <t xml:space="preserve">Similar; first-window timing differs</t>
  </si>
  <si>
    <t xml:space="preserve">Similar; 455-day FM deferral cap visible</t>
  </si>
  <si>
    <t xml:space="preserve">Project-delay termination protection; possible Second DFCD / Plant 2 cancellation wording</t>
  </si>
  <si>
    <t xml:space="preserve">Project-delay termination protection</t>
  </si>
  <si>
    <t xml:space="preserve">78.255m MMBtu/yr = 50% ACQ pre-Second DFCD (5.1.3(a))</t>
  </si>
  <si>
    <t xml:space="preserve">78.255m MMBtu/yr = 50% ACQ (5.1.3(a))</t>
  </si>
  <si>
    <t xml:space="preserve">26.085m MMBtu/yr = 50% ACQ (5.1.3(a))</t>
  </si>
  <si>
    <t xml:space="preserve">52.17m MMBtu/yr = 50% ACQ (5.1.3(a))</t>
  </si>
  <si>
    <t xml:space="preserve">20 years from DFCD</t>
  </si>
  <si>
    <t xml:space="preserve">10 years from First DFCD (4.1)</t>
  </si>
  <si>
    <t xml:space="preserve">10 years from First DFCD (4.1.1)</t>
  </si>
  <si>
    <t xml:space="preserve">Buyer may extend up to 10 years for any portion of ACQ</t>
  </si>
  <si>
    <t xml:space="preserve">Similar maximum extension term</t>
  </si>
  <si>
    <t xml:space="preserve">Buyer may extend up to 10 years</t>
  </si>
  <si>
    <t xml:space="preserve">2 x 5-year buyer-elected extensions (4.1.2); up to 20y total</t>
  </si>
  <si>
    <t xml:space="preserve">Buyer elects; notice mechanics not extracted</t>
  </si>
  <si>
    <t xml:space="preserve">Buyer elects; deadline not extracted</t>
  </si>
  <si>
    <t xml:space="preserve">Minimum facility utilisation; approvals and export authorisations</t>
  </si>
  <si>
    <t xml:space="preserve">Approvals; export-authorisation wording not visible</t>
  </si>
  <si>
    <t xml:space="preserve">Approvals incl. LNG export licences</t>
  </si>
  <si>
    <t xml:space="preserve">Not extracted</t>
  </si>
  <si>
    <t xml:space="preserve">9.1.2 / 9.1.3: same visible JKM form; constants redacted; do not assume equal to base</t>
  </si>
  <si>
    <t xml:space="preserve">9.1.2 / 9.1.3: same visible TTF form; constants redacted; do not assume equal to base</t>
  </si>
  <si>
    <t xml:space="preserve">Delayed-DFCD termination rights</t>
  </si>
  <si>
    <t xml:space="preserve">Project-delay termination; other triggers not reviewed</t>
  </si>
  <si>
    <t xml:space="preserve">182.5m MMBtu/yr</t>
  </si>
  <si>
    <t xml:space="preserve">104.75m MMBtu/yr = 91.25m AT + 13.5m ST</t>
  </si>
  <si>
    <t xml:space="preserve">156.51m MMBtu/yr, ~3 mtpa (5.1.1); AACQ framework</t>
  </si>
  <si>
    <t xml:space="preserve">156.51m MMBtu/yr (5.1.1); AACQ framework</t>
  </si>
  <si>
    <t xml:space="preserve">52.17m MMBtu/yr, ~1 mtpa (5.1.1)</t>
  </si>
  <si>
    <t xml:space="preserve">104.34m MMBtu/yr, ~2 mtpa (5.1.1)</t>
  </si>
  <si>
    <t xml:space="preserve">Single annual quantity</t>
  </si>
  <si>
    <t xml:space="preserve">Annual Tranche + Seasonal Tranche (ST = 12.9% of ACQ)</t>
  </si>
  <si>
    <t xml:space="preserve">None</t>
  </si>
  <si>
    <t xml:space="preserve">Two-tranche winter structure (see D3)</t>
  </si>
  <si>
    <t xml:space="preserve">Even / ratable</t>
  </si>
  <si>
    <t xml:space="preserve">Annual + seasonal shape</t>
  </si>
  <si>
    <t xml:space="preserve">Even and ratable (5.3)</t>
  </si>
  <si>
    <t xml:space="preserve">50-60% of AACQ scheduled Oct-Mar (5.3)</t>
  </si>
  <si>
    <t xml:space="preserve">ADP process; standard</t>
  </si>
  <si>
    <t xml:space="preserve">ADP/NDS common process</t>
  </si>
  <si>
    <t xml:space="preserve">ADP/NDS; shape constraints matter</t>
  </si>
  <si>
    <t xml:space="preserve">Round-up/down; not a swing right</t>
  </si>
  <si>
    <t xml:space="preserve">6%/yr; 30% initial term</t>
  </si>
  <si>
    <t xml:space="preserve">7.5%/yr; 25% over 6 years</t>
  </si>
  <si>
    <t xml:space="preserve">8.3%/yr; 16.6% initial term</t>
  </si>
  <si>
    <t xml:space="preserve">8.3% of annual/seasonal base; 17% cumulative</t>
  </si>
  <si>
    <t xml:space="preserve">Not separately identified in deck</t>
  </si>
  <si>
    <t xml:space="preserve">Cargo cancellation right (see F2)</t>
  </si>
  <si>
    <t xml:space="preserve">No equivalent seen in reviewed snippets</t>
  </si>
  <si>
    <t xml:space="preserve">Suspension right (see F3)</t>
  </si>
  <si>
    <t xml:space="preserve">No broad discretionary swing right detected</t>
  </si>
  <si>
    <t xml:space="preserve">Not identified in decks; check full text</t>
  </si>
  <si>
    <t xml:space="preserve">Concept common; payment details redacted</t>
  </si>
  <si>
    <t xml:space="preserve">Same first/final year treatment</t>
  </si>
  <si>
    <t xml:space="preserve">CSP + separate UFC / Monthly Sales Charge</t>
  </si>
  <si>
    <t xml:space="preserve">Single CSP with embedded fixed Xy</t>
  </si>
  <si>
    <t xml:space="preserve">Single blended formula: multiplier over sum of legs</t>
  </si>
  <si>
    <t xml:space="preserve">Single blended formula: separately weighted legs</t>
  </si>
  <si>
    <t xml:space="preserve">Single-index JKM formula</t>
  </si>
  <si>
    <t xml:space="preserve">Single-index TTF formula</t>
  </si>
  <si>
    <t xml:space="preserve">Henry Hub</t>
  </si>
  <si>
    <t xml:space="preserve">JKM + TTF</t>
  </si>
  <si>
    <t xml:space="preserve">JKM only</t>
  </si>
  <si>
    <t xml:space="preserve">TTF only</t>
  </si>
  <si>
    <t xml:space="preserve">1.15 x HH</t>
  </si>
  <si>
    <t xml:space="preserve">CSP = [***] x (JKM CSP + TTF CSP) (9.1.1)</t>
  </si>
  <si>
    <t xml:space="preserve">CSP = ([***]% JKM CSP) + ([***]% TTF CSP) (9.1.1)</t>
  </si>
  <si>
    <t xml:space="preserve">[***]% x JKM; slope redacted (9.1.1)</t>
  </si>
  <si>
    <t xml:space="preserve">[***]% x TTF; slope redacted (9.1.1)</t>
  </si>
  <si>
    <t xml:space="preserve">n/a in base CSP (fixed leg via UFC)</t>
  </si>
  <si>
    <t xml:space="preserve">n/a in base CSP (fixed leg via Xy)</t>
  </si>
  <si>
    <t xml:space="preserve">US$[***]/MMBtu deductions; redacted</t>
  </si>
  <si>
    <t xml:space="preserve">US$[***]/MMBtu deduction; redacted</t>
  </si>
  <si>
    <t xml:space="preserve">None visible in deck</t>
  </si>
  <si>
    <t xml:space="preserve">Greater-of floors inside each leg; US$[***] floor redacted</t>
  </si>
  <si>
    <t xml:space="preserve">Greater-of: ([***]% x JKM - US$[***]) vs US$[***] floor</t>
  </si>
  <si>
    <t xml:space="preserve">Greater-of: ([***]% x TTF - US$[***]) vs US$[***] floor</t>
  </si>
  <si>
    <t xml:space="preserve">UFCy = 1.9125 + (0.3375 x CPIy/CPI0); MSC = UFC x Q/12</t>
  </si>
  <si>
    <t xml:space="preserve">UFCy = 2.1525 + (0.3375 x CPIy/CPI0); MSC = UFC x Q/12</t>
  </si>
  <si>
    <t xml:space="preserve">Xy = (0.85 + 0.15 x CPI(y-1)/CPI0) x X0; X0 = US$3.00/MMBtu</t>
  </si>
  <si>
    <t xml:space="preserve">Xy = (0.885 + 0.115 x CPI(y-1)/CPI0) x X0; X0 = US$3.00/MMBtu</t>
  </si>
  <si>
    <t xml:space="preserve">No separate capacity charge visible</t>
  </si>
  <si>
    <t xml:space="preserve">Inside UFC (0.3375 term); CPI0 redacted</t>
  </si>
  <si>
    <t xml:space="preserve">15% CPI weight; CPI0 convention unknown</t>
  </si>
  <si>
    <t xml:space="preserve">11.5% CPI weight; CPI0 convention unknown</t>
  </si>
  <si>
    <t xml:space="preserve">None visible</t>
  </si>
  <si>
    <t xml:space="preserve">n/a (USD Henry Hub)</t>
  </si>
  <si>
    <t xml:space="preserve">Bloomberg/Reuters spot 16:00 London, 4dp</t>
  </si>
  <si>
    <t xml:space="preserve">ECB reference rate; prior-day fallback</t>
  </si>
  <si>
    <t xml:space="preserve">n/a (JKM only)</t>
  </si>
  <si>
    <t xml:space="preserve">Redacted</t>
  </si>
  <si>
    <t xml:space="preserve">Month after ADP delivery-window month (stated in full)</t>
  </si>
  <si>
    <t xml:space="preserve">Similar fallback architecture</t>
  </si>
  <si>
    <t xml:space="preserve">[***]% above SOFR, 360-day year (10.4.1)</t>
  </si>
  <si>
    <t xml:space="preserve">None visible; linear 1.15 x HH</t>
  </si>
  <si>
    <t xml:space="preserve">None visible; greater-of floor structure instead (E5)</t>
  </si>
  <si>
    <t xml:space="preserve">Tied to Pricing Month definition (see E9)</t>
  </si>
  <si>
    <t xml:space="preserve">Up to 10y buyer extension</t>
  </si>
  <si>
    <t xml:space="preserve">2 x 5y buyer options</t>
  </si>
  <si>
    <t xml:space="preserve">Cancellation right; Monthly Sales Charge continues</t>
  </si>
  <si>
    <t xml:space="preserve">n/a; suspension mechanism instead</t>
  </si>
  <si>
    <t xml:space="preserve">Not identified in deck</t>
  </si>
  <si>
    <t xml:space="preserve">None identified</t>
  </si>
  <si>
    <t xml:space="preserve">Suspension right with Suspension Fee</t>
  </si>
  <si>
    <t xml:space="preserve">Yes: MSC continues</t>
  </si>
  <si>
    <t xml:space="preserve">No separate charge exists (embedded Xy)</t>
  </si>
  <si>
    <t xml:space="preserve">Suspension Fee mechanics instead</t>
  </si>
  <si>
    <t xml:space="preserve">No separate capacity charge</t>
  </si>
  <si>
    <t xml:space="preserve">Any destination, subject to agreement</t>
  </si>
  <si>
    <t xml:space="preserve">Same broad wording</t>
  </si>
  <si>
    <t xml:space="preserve">Broad, subject to export / trade law</t>
  </si>
  <si>
    <t xml:space="preserve">Permitted with buyer consent and conditions</t>
  </si>
  <si>
    <t xml:space="preserve">Similar; Gulf Coast affiliate carve-out visible</t>
  </si>
  <si>
    <t xml:space="preserve">Same concept; different conditions</t>
  </si>
  <si>
    <t xml:space="preserve">Buyer HH-basis election; cure limits (14.3.7) present</t>
  </si>
  <si>
    <t xml:space="preserve">Buyer HH-basis election; cure limits (14.3.7) present; carve-out interaction to blackline</t>
  </si>
  <si>
    <t xml:space="preserve">Seasonal Tranche structure</t>
  </si>
  <si>
    <t xml:space="preserve">Winter-weighted tranche rights</t>
  </si>
  <si>
    <t xml:space="preserve">Coordination clause: separate caps, no cross-default, consolidated arbitration option</t>
  </si>
  <si>
    <t xml:space="preserve">Destination 'subject to agreement'; no profit-share identified in deck</t>
  </si>
  <si>
    <t xml:space="preserve">Broad destination flexibility; no diversion fee or profit-share identified in deck</t>
  </si>
  <si>
    <t xml:space="preserve">To assess against competition-law context; not a deck item</t>
  </si>
  <si>
    <t xml:space="preserve">CSP-based shortfall architecture; % not extracted</t>
  </si>
  <si>
    <t xml:space="preserve">Same broad architecture</t>
  </si>
  <si>
    <t xml:space="preserve">Common framework; result scales with CSP and scheduled ACQ</t>
  </si>
  <si>
    <t xml:space="preserve">Common framework</t>
  </si>
  <si>
    <t xml:space="preserve">CSP-based; cancellation interacts with MSC</t>
  </si>
  <si>
    <t xml:space="preserve">CSP-based cover damages</t>
  </si>
  <si>
    <t xml:space="preserve">CSP-based plus suspension / idling-cost wording</t>
  </si>
  <si>
    <t xml:space="preserve">Same framework; values partly redacted</t>
  </si>
  <si>
    <t xml:space="preserve">Refers to CSP minus UFC for replacement comparison</t>
  </si>
  <si>
    <t xml:space="preserve">Same broad concept</t>
  </si>
  <si>
    <t xml:space="preserve">CSP / cover-damages mechanics</t>
  </si>
  <si>
    <t xml:space="preserve">CSP plus additional cost wording</t>
  </si>
  <si>
    <t xml:space="preserve">Same architecture; caps and some values redacted</t>
  </si>
  <si>
    <t xml:space="preserve">CSP minus UFC</t>
  </si>
  <si>
    <t xml:space="preserve">CSP</t>
  </si>
  <si>
    <t xml:space="preserve">CSP + suspension / idling elements</t>
  </si>
  <si>
    <t xml:space="preserve">CSP-based; not further split</t>
  </si>
  <si>
    <t xml:space="preserve">To blackline</t>
  </si>
  <si>
    <t xml:space="preserve">In-tank DoP resale wording; to blackline</t>
  </si>
  <si>
    <t xml:space="preserve">FM / capacity-charge reduction flagged as model input; extract clause</t>
  </si>
  <si>
    <t xml:space="preserve">Same</t>
  </si>
  <si>
    <t xml:space="preserve">n/a in same form (embedded)</t>
  </si>
  <si>
    <t xml:space="preserve">455-day FM deferral cap visible</t>
  </si>
  <si>
    <t xml:space="preserve">Clause present; thresholds / LC mechanics not extracted</t>
  </si>
  <si>
    <t xml:space="preserve">Present</t>
  </si>
  <si>
    <t xml:space="preserve">Named support / TNW / LC mechanics</t>
  </si>
  <si>
    <t xml:space="preserve">Named support / TNW / LC; timing differs</t>
  </si>
  <si>
    <t xml:space="preserve">Generic acceptable support</t>
  </si>
  <si>
    <t xml:space="preserve">No same capped defined term identified</t>
  </si>
  <si>
    <t xml:space="preserve">Capped defined guaranty term; amount redacted</t>
  </si>
  <si>
    <t xml:space="preserve">n/a in same form</t>
  </si>
  <si>
    <t xml:space="preserve">Caps / limits present; amounts not extracted</t>
  </si>
  <si>
    <t xml:space="preserve">Present; amounts redacted</t>
  </si>
  <si>
    <t xml:space="preserve">Present; amounts redacted; separate caps per SPA</t>
  </si>
  <si>
    <t xml:space="preserve">Project-finance style provisions</t>
  </si>
  <si>
    <t xml:space="preserve">Direct agreement present</t>
  </si>
  <si>
    <t xml:space="preserve">Broader wording around contractual entitlement to LNG</t>
  </si>
  <si>
    <t xml:space="preserve">FOB Sabine Pass Facility</t>
  </si>
  <si>
    <t xml:space="preserve">FOB Driftwood LNG Terminal, flange-to-flange (6.1)</t>
  </si>
  <si>
    <t xml:space="preserve">FOB Driftwood LNG Terminal (6.1)</t>
  </si>
  <si>
    <t xml:space="preserve">At delivery point</t>
  </si>
  <si>
    <t xml:space="preserve">Buyer provides tankers</t>
  </si>
  <si>
    <t xml:space="preserve">Buyer provides tankers; change rights operationally equivalent</t>
  </si>
  <si>
    <t xml:space="preserve">Common cost class; detailed wording differs</t>
  </si>
  <si>
    <t xml:space="preserve">Similar SPA architecture; remedies to check</t>
  </si>
  <si>
    <t xml:space="preserve">No first-order spec difference; remedy calculations to check</t>
  </si>
  <si>
    <t xml:space="preserve">Common MMBtu measurement / test framework</t>
  </si>
  <si>
    <t xml:space="preserve">Express tanker / discharge-terminal FM clause</t>
  </si>
  <si>
    <t xml:space="preserve">Express clause</t>
  </si>
  <si>
    <t xml:space="preserve">Express clause; terminal wording narrower</t>
  </si>
  <si>
    <t xml:space="preserve">Broadly similar FM; foundation-customer pro-rata allocation equivalent</t>
  </si>
  <si>
    <t xml:space="preserve">Same; HH carve-out interaction to blackline</t>
  </si>
  <si>
    <t xml:space="preserve">n/a (FOB contract)</t>
  </si>
  <si>
    <t xml:space="preserve">Cargo invoicing standard; MSC invoiced monthly</t>
  </si>
  <si>
    <t xml:space="preserve">Same; MSC invoiced monthly</t>
  </si>
  <si>
    <t xml:space="preserve">Cargo invoicing standard</t>
  </si>
  <si>
    <t xml:space="preserve">Cargo invoice = CSP x loaded MMBtu; common framework</t>
  </si>
  <si>
    <t xml:space="preserve">Standard field; not compared in deck</t>
  </si>
  <si>
    <t xml:space="preserve">No material divergence surfaced</t>
  </si>
  <si>
    <t xml:space="preserve">Same broad class</t>
  </si>
  <si>
    <t xml:space="preserve">Twin-SPA consolidation option</t>
  </si>
  <si>
    <t xml:space="preserve">Same risk class; wording to blackline</t>
  </si>
  <si>
    <t xml:space="preserve">Buyer-cost / incentive emissions language</t>
  </si>
  <si>
    <t xml:space="preserve">Extra HSEC / human-rights layer</t>
  </si>
  <si>
    <t xml:space="preserve">Stronger emissions data-access wording</t>
  </si>
  <si>
    <t xml:space="preserve">Mental-impressions wording identified</t>
  </si>
  <si>
    <t xml:space="preserve">Holder-side valuation inputs. These are NOT contract terms; they complete the valuation identity V = sum D(0,t) x E[(P_use - P_contract) x Q_lift - costs]. Keep them separate from extracted contract facts.</t>
  </si>
  <si>
    <t xml:space="preserve">Input</t>
  </si>
  <si>
    <t xml:space="preserve">Typical source</t>
  </si>
  <si>
    <t xml:space="preserve">Freight / charter rate</t>
  </si>
  <si>
    <t xml:space="preserve">Route rate, vessel spec, charter duration</t>
  </si>
  <si>
    <t xml:space="preserve">Baltic Exchange / Spark assessments; ICE / EEX LNG freight futures</t>
  </si>
  <si>
    <t xml:space="preserve">FOB-to-DES netback driver; partially hedgeable with freight futures</t>
  </si>
  <si>
    <t xml:space="preserve">Fuel and boil-off</t>
  </si>
  <si>
    <t xml:space="preserve">% of cargo or US$/MMBtu per voyage</t>
  </si>
  <si>
    <t xml:space="preserve">Internal operations / charter terms</t>
  </si>
  <si>
    <t xml:space="preserve">Delivered cost component</t>
  </si>
  <si>
    <t xml:space="preserve">Canal and port costs</t>
  </si>
  <si>
    <t xml:space="preserve">Per-transit and per-call fees</t>
  </si>
  <si>
    <t xml:space="preserve">Canal authority and port tariff schedules</t>
  </si>
  <si>
    <t xml:space="preserve">Route economics; Panama vs Suez vs direct</t>
  </si>
  <si>
    <t xml:space="preserve">Regas capacity fee</t>
  </si>
  <si>
    <t xml:space="preserve">Fixed berth / throughput charge</t>
  </si>
  <si>
    <t xml:space="preserve">Terminal tariff publications (Gate, Elengy, Fluxys, Snam, GAZ-SYSTEM)</t>
  </si>
  <si>
    <t xml:space="preserve">Delivered cost; terminal capacity has standalone value</t>
  </si>
  <si>
    <t xml:space="preserve">Regas variable fee</t>
  </si>
  <si>
    <t xml:space="preserve">Per-MWh or per-MMBtu variable rate</t>
  </si>
  <si>
    <t xml:space="preserve">Terminal tariff publications</t>
  </si>
  <si>
    <t xml:space="preserve">Netback calculation</t>
  </si>
  <si>
    <t xml:space="preserve">Terminal access / slots / storage</t>
  </si>
  <si>
    <t xml:space="preserve">Held capacity, reload rights, storage position</t>
  </si>
  <si>
    <t xml:space="preserve">Terminal agreements</t>
  </si>
  <si>
    <t xml:space="preserve">Physical optionality not visible in the SPA; convenience-yield type value</t>
  </si>
  <si>
    <t xml:space="preserve">Downstream use value (P_use)</t>
  </si>
  <si>
    <t xml:space="preserve">Resale value, avoided procurement cost or downstream margin</t>
  </si>
  <si>
    <t xml:space="preserve">Internal / market benchmarks</t>
  </si>
  <si>
    <t xml:space="preserve">The other half of the valuation identity; buyer value is P_use minus P_contract</t>
  </si>
  <si>
    <t xml:space="preserve">Benchmark forward curves</t>
  </si>
  <si>
    <t xml:space="preserve">Brent / JCC, HH, TTF, JKM strips</t>
  </si>
  <si>
    <t xml:space="preserve">ICE, CME, Platts, EIA, ACER</t>
  </si>
  <si>
    <t xml:space="preserve">Base cash-flow strip; hedge construction</t>
  </si>
  <si>
    <t xml:space="preserve">FX and unit conversion</t>
  </si>
  <si>
    <t xml:space="preserve">EUR/USD; MWh-MMBtu; tonne-MMBtu factors</t>
  </si>
  <si>
    <t xml:space="preserve">ECB / Bloomberg fixings; contract definitions</t>
  </si>
  <si>
    <t xml:space="preserve">TTF quotes EUR/MWh while contracts settle USD/MMBtu</t>
  </si>
  <si>
    <t xml:space="preserve">Discounting convention</t>
  </si>
  <si>
    <t xml:space="preserve">Internal hurdle rate vs collateralised OIS / SOFR</t>
  </si>
  <si>
    <t xml:space="preserve">NY Fed SOFR; internal policy</t>
  </si>
  <si>
    <t xml:space="preserve">Economic value and accounting fair value can differ materially</t>
  </si>
  <si>
    <t xml:space="preserve">Tax treatment</t>
  </si>
  <si>
    <t xml:space="preserve">Pre / post-tax basis; jurisdiction</t>
  </si>
  <si>
    <t xml:space="preserve">Internal tax</t>
  </si>
  <si>
    <t xml:space="preserve">Net value to the holder</t>
  </si>
  <si>
    <t xml:space="preserve">Credit / CVA inputs</t>
  </si>
  <si>
    <t xml:space="preserve">Counterparty spreads, collateral and guarantee terms</t>
  </si>
  <si>
    <t xml:space="preserve">Market CDS / internal credit</t>
  </si>
  <si>
    <t xml:space="preserve">IFRS 13 requires non-performance risk in fair value</t>
  </si>
  <si>
    <t xml:space="preserve">Volatility, correlation, seasonality</t>
  </si>
  <si>
    <t xml:space="preserve">HH-TTF-JKM-Brent-freight vols and correlations; de-seasonalised mean reversion</t>
  </si>
  <si>
    <t xml:space="preserve">Exchange settlement histories</t>
  </si>
  <si>
    <t xml:space="preserve">Calibration for option-adjusted valuation; price the forward curve correctly first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</si>
</sst>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274E1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99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6"/>
        <bgColor rgb="FFD9EAD3"/>
      </patternFill>
    </fill>
    <fill>
      <patternFill patternType="solid">
        <fgColor rgb="FFD9EAD3"/>
        <bgColor rgb="FFDEEAF6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9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23.85" hidden="false" customHeight="false" outlineLevel="0" collapsed="false">
      <c r="A4" s="3" t="s">
        <v>3</v>
      </c>
      <c r="B4" s="2" t="s">
        <v>4</v>
      </c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35.0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 t="s">
        <v>13</v>
      </c>
      <c r="B9" s="2" t="s">
        <v>14</v>
      </c>
    </row>
    <row r="10" customFormat="false" ht="23.85" hidden="false" customHeight="false" outlineLevel="0" collapsed="false">
      <c r="A10" s="3" t="s">
        <v>15</v>
      </c>
      <c r="B10" s="2" t="s">
        <v>16</v>
      </c>
    </row>
    <row r="11" customFormat="false" ht="23.85" hidden="false" customHeight="false" outlineLevel="0" collapsed="false">
      <c r="A11" s="3" t="s">
        <v>17</v>
      </c>
      <c r="B11" s="2" t="s">
        <v>18</v>
      </c>
    </row>
    <row r="12" customFormat="false" ht="23.85" hidden="false" customHeight="false" outlineLevel="0" collapsed="false">
      <c r="A12" s="3" t="s">
        <v>19</v>
      </c>
      <c r="B12" s="2" t="s">
        <v>20</v>
      </c>
    </row>
    <row r="13" customFormat="false" ht="23.85" hidden="false" customHeight="false" outlineLevel="0" collapsed="false">
      <c r="A13" s="3" t="s">
        <v>21</v>
      </c>
      <c r="B13" s="2" t="s">
        <v>22</v>
      </c>
    </row>
    <row r="14" customFormat="false" ht="23.85" hidden="false" customHeight="false" outlineLevel="0" collapsed="false">
      <c r="A14" s="3" t="s">
        <v>23</v>
      </c>
      <c r="B14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3" t="s">
        <v>25</v>
      </c>
      <c r="B1" s="4" t="s">
        <v>26</v>
      </c>
      <c r="D1" s="3" t="s">
        <v>27</v>
      </c>
      <c r="E1" s="5" t="n">
        <f aca="false">COUNTA(A4:A88)</f>
        <v>85</v>
      </c>
      <c r="F1" s="3" t="s">
        <v>28</v>
      </c>
      <c r="G1" s="5" t="n">
        <f aca="false">COUNTIF(I4:I88,"Extracted")</f>
        <v>0</v>
      </c>
      <c r="H1" s="3" t="s">
        <v>29</v>
      </c>
      <c r="I1" s="5" t="n">
        <f aca="false">COUNTIF(I4:I88,"Not reviewed")+COUNTBLANK(I4:I88)</f>
        <v>85</v>
      </c>
    </row>
    <row r="3" customFormat="false" ht="22.35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15</v>
      </c>
      <c r="H3" s="6" t="s">
        <v>17</v>
      </c>
      <c r="I3" s="6" t="s">
        <v>36</v>
      </c>
      <c r="J3" s="6" t="s">
        <v>37</v>
      </c>
      <c r="K3" s="6" t="s">
        <v>38</v>
      </c>
      <c r="L3" s="6" t="s">
        <v>39</v>
      </c>
      <c r="M3" s="6" t="s">
        <v>40</v>
      </c>
    </row>
    <row r="4" customFormat="false" ht="22.35" hidden="false" customHeight="false" outlineLevel="0" collapsed="false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  <c r="I4" s="7"/>
      <c r="J4" s="7"/>
      <c r="K4" s="7"/>
      <c r="L4" s="7"/>
      <c r="M4" s="7"/>
    </row>
    <row r="5" customFormat="false" ht="15" hidden="false" customHeight="false" outlineLevel="0" collapsed="false">
      <c r="A5" s="8" t="s">
        <v>49</v>
      </c>
      <c r="B5" s="8" t="s">
        <v>42</v>
      </c>
      <c r="C5" s="8" t="s">
        <v>50</v>
      </c>
      <c r="D5" s="8" t="s">
        <v>51</v>
      </c>
      <c r="E5" s="8" t="s">
        <v>45</v>
      </c>
      <c r="F5" s="8" t="s">
        <v>52</v>
      </c>
      <c r="G5" s="8" t="s">
        <v>47</v>
      </c>
      <c r="H5" s="8" t="s">
        <v>48</v>
      </c>
      <c r="I5" s="8"/>
      <c r="J5" s="8"/>
      <c r="K5" s="8"/>
      <c r="L5" s="8"/>
      <c r="M5" s="8"/>
    </row>
    <row r="6" customFormat="false" ht="22.35" hidden="false" customHeight="false" outlineLevel="0" collapsed="false">
      <c r="A6" s="8" t="s">
        <v>53</v>
      </c>
      <c r="B6" s="8" t="s">
        <v>42</v>
      </c>
      <c r="C6" s="8" t="s">
        <v>54</v>
      </c>
      <c r="D6" s="8" t="s">
        <v>55</v>
      </c>
      <c r="E6" s="8" t="s">
        <v>56</v>
      </c>
      <c r="F6" s="8" t="s">
        <v>57</v>
      </c>
      <c r="G6" s="8" t="s">
        <v>47</v>
      </c>
      <c r="H6" s="8" t="s">
        <v>48</v>
      </c>
      <c r="I6" s="8"/>
      <c r="J6" s="8"/>
      <c r="K6" s="8"/>
      <c r="L6" s="8"/>
      <c r="M6" s="8"/>
    </row>
    <row r="7" customFormat="false" ht="22.35" hidden="false" customHeight="false" outlineLevel="0" collapsed="false">
      <c r="A7" s="8" t="s">
        <v>58</v>
      </c>
      <c r="B7" s="8" t="s">
        <v>42</v>
      </c>
      <c r="C7" s="8" t="s">
        <v>59</v>
      </c>
      <c r="D7" s="8" t="s">
        <v>60</v>
      </c>
      <c r="E7" s="8" t="s">
        <v>61</v>
      </c>
      <c r="F7" s="8" t="s">
        <v>62</v>
      </c>
      <c r="G7" s="8" t="s">
        <v>47</v>
      </c>
      <c r="H7" s="8" t="s">
        <v>48</v>
      </c>
      <c r="I7" s="8"/>
      <c r="J7" s="8"/>
      <c r="K7" s="8"/>
      <c r="L7" s="8"/>
      <c r="M7" s="8"/>
    </row>
    <row r="8" customFormat="false" ht="22.35" hidden="false" customHeight="false" outlineLevel="0" collapsed="false">
      <c r="A8" s="8" t="s">
        <v>63</v>
      </c>
      <c r="B8" s="8" t="s">
        <v>42</v>
      </c>
      <c r="C8" s="8" t="s">
        <v>64</v>
      </c>
      <c r="D8" s="8" t="s">
        <v>65</v>
      </c>
      <c r="E8" s="8" t="s">
        <v>66</v>
      </c>
      <c r="F8" s="8" t="s">
        <v>67</v>
      </c>
      <c r="G8" s="8" t="s">
        <v>47</v>
      </c>
      <c r="H8" s="8" t="s">
        <v>48</v>
      </c>
      <c r="I8" s="8"/>
      <c r="J8" s="8"/>
      <c r="K8" s="8"/>
      <c r="L8" s="8"/>
      <c r="M8" s="8"/>
    </row>
    <row r="9" customFormat="false" ht="22.35" hidden="false" customHeight="false" outlineLevel="0" collapsed="false">
      <c r="A9" s="8" t="s">
        <v>68</v>
      </c>
      <c r="B9" s="8" t="s">
        <v>42</v>
      </c>
      <c r="C9" s="8" t="s">
        <v>69</v>
      </c>
      <c r="D9" s="8" t="s">
        <v>70</v>
      </c>
      <c r="E9" s="8" t="s">
        <v>66</v>
      </c>
      <c r="F9" s="8" t="s">
        <v>71</v>
      </c>
      <c r="G9" s="8" t="s">
        <v>72</v>
      </c>
      <c r="H9" s="8" t="s">
        <v>48</v>
      </c>
      <c r="I9" s="8"/>
      <c r="J9" s="8"/>
      <c r="K9" s="8"/>
      <c r="L9" s="8"/>
      <c r="M9" s="8"/>
    </row>
    <row r="10" customFormat="false" ht="22.35" hidden="false" customHeight="false" outlineLevel="0" collapsed="false">
      <c r="A10" s="8" t="s">
        <v>73</v>
      </c>
      <c r="B10" s="8" t="s">
        <v>42</v>
      </c>
      <c r="C10" s="8" t="s">
        <v>74</v>
      </c>
      <c r="D10" s="8" t="s">
        <v>75</v>
      </c>
      <c r="E10" s="8" t="s">
        <v>76</v>
      </c>
      <c r="F10" s="8" t="s">
        <v>77</v>
      </c>
      <c r="G10" s="8" t="s">
        <v>47</v>
      </c>
      <c r="H10" s="8" t="s">
        <v>48</v>
      </c>
      <c r="I10" s="8"/>
      <c r="J10" s="8"/>
      <c r="K10" s="8"/>
      <c r="L10" s="8"/>
      <c r="M10" s="8"/>
    </row>
    <row r="11" customFormat="false" ht="22.35" hidden="false" customHeight="false" outlineLevel="0" collapsed="false">
      <c r="A11" s="8" t="s">
        <v>78</v>
      </c>
      <c r="B11" s="8" t="s">
        <v>42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47</v>
      </c>
      <c r="H11" s="8" t="s">
        <v>48</v>
      </c>
      <c r="I11" s="8"/>
      <c r="J11" s="8"/>
      <c r="K11" s="8"/>
      <c r="L11" s="8"/>
      <c r="M11" s="8"/>
    </row>
    <row r="12" customFormat="false" ht="22.35" hidden="false" customHeight="false" outlineLevel="0" collapsed="false">
      <c r="A12" s="7" t="s">
        <v>83</v>
      </c>
      <c r="B12" s="7" t="s">
        <v>84</v>
      </c>
      <c r="C12" s="7" t="s">
        <v>85</v>
      </c>
      <c r="D12" s="7" t="s">
        <v>86</v>
      </c>
      <c r="E12" s="7" t="s">
        <v>87</v>
      </c>
      <c r="F12" s="7" t="s">
        <v>88</v>
      </c>
      <c r="G12" s="7" t="s">
        <v>47</v>
      </c>
      <c r="H12" s="7" t="s">
        <v>48</v>
      </c>
      <c r="I12" s="7"/>
      <c r="J12" s="7"/>
      <c r="K12" s="7"/>
      <c r="L12" s="7"/>
      <c r="M12" s="7"/>
    </row>
    <row r="13" customFormat="false" ht="22.35" hidden="false" customHeight="false" outlineLevel="0" collapsed="false">
      <c r="A13" s="8" t="s">
        <v>89</v>
      </c>
      <c r="B13" s="8" t="s">
        <v>84</v>
      </c>
      <c r="C13" s="8" t="s">
        <v>90</v>
      </c>
      <c r="D13" s="8" t="s">
        <v>91</v>
      </c>
      <c r="E13" s="8" t="s">
        <v>92</v>
      </c>
      <c r="F13" s="8" t="s">
        <v>93</v>
      </c>
      <c r="G13" s="8" t="s">
        <v>94</v>
      </c>
      <c r="H13" s="8" t="s">
        <v>48</v>
      </c>
      <c r="I13" s="8"/>
      <c r="J13" s="8"/>
      <c r="K13" s="8"/>
      <c r="L13" s="8"/>
      <c r="M13" s="8"/>
    </row>
    <row r="14" customFormat="false" ht="22.35" hidden="false" customHeight="false" outlineLevel="0" collapsed="false">
      <c r="A14" s="8" t="s">
        <v>95</v>
      </c>
      <c r="B14" s="8" t="s">
        <v>84</v>
      </c>
      <c r="C14" s="8" t="s">
        <v>96</v>
      </c>
      <c r="D14" s="8" t="s">
        <v>97</v>
      </c>
      <c r="E14" s="8" t="s">
        <v>98</v>
      </c>
      <c r="F14" s="8" t="s">
        <v>99</v>
      </c>
      <c r="G14" s="8" t="s">
        <v>100</v>
      </c>
      <c r="H14" s="8" t="s">
        <v>48</v>
      </c>
      <c r="I14" s="8"/>
      <c r="J14" s="8"/>
      <c r="K14" s="8"/>
      <c r="L14" s="8"/>
      <c r="M14" s="8"/>
    </row>
    <row r="15" customFormat="false" ht="22.35" hidden="false" customHeight="false" outlineLevel="0" collapsed="false">
      <c r="A15" s="8" t="s">
        <v>101</v>
      </c>
      <c r="B15" s="8" t="s">
        <v>84</v>
      </c>
      <c r="C15" s="8" t="s">
        <v>102</v>
      </c>
      <c r="D15" s="8" t="s">
        <v>103</v>
      </c>
      <c r="E15" s="8" t="s">
        <v>104</v>
      </c>
      <c r="F15" s="8" t="s">
        <v>105</v>
      </c>
      <c r="G15" s="8" t="s">
        <v>94</v>
      </c>
      <c r="H15" s="8" t="s">
        <v>48</v>
      </c>
      <c r="I15" s="8"/>
      <c r="J15" s="8"/>
      <c r="K15" s="8"/>
      <c r="L15" s="8"/>
      <c r="M15" s="8"/>
    </row>
    <row r="16" customFormat="false" ht="15" hidden="false" customHeight="false" outlineLevel="0" collapsed="false">
      <c r="A16" s="7" t="s">
        <v>106</v>
      </c>
      <c r="B16" s="7" t="s">
        <v>107</v>
      </c>
      <c r="C16" s="7" t="s">
        <v>108</v>
      </c>
      <c r="D16" s="7" t="s">
        <v>109</v>
      </c>
      <c r="E16" s="7" t="s">
        <v>98</v>
      </c>
      <c r="F16" s="7" t="s">
        <v>110</v>
      </c>
      <c r="G16" s="7" t="s">
        <v>94</v>
      </c>
      <c r="H16" s="7" t="s">
        <v>48</v>
      </c>
      <c r="I16" s="7"/>
      <c r="J16" s="7"/>
      <c r="K16" s="7"/>
      <c r="L16" s="7"/>
      <c r="M16" s="7"/>
    </row>
    <row r="17" customFormat="false" ht="22.35" hidden="false" customHeight="false" outlineLevel="0" collapsed="false">
      <c r="A17" s="8" t="s">
        <v>111</v>
      </c>
      <c r="B17" s="8" t="s">
        <v>107</v>
      </c>
      <c r="C17" s="8" t="s">
        <v>112</v>
      </c>
      <c r="D17" s="8" t="s">
        <v>113</v>
      </c>
      <c r="E17" s="8" t="s">
        <v>98</v>
      </c>
      <c r="F17" s="8" t="s">
        <v>114</v>
      </c>
      <c r="G17" s="8" t="s">
        <v>47</v>
      </c>
      <c r="H17" s="8" t="s">
        <v>48</v>
      </c>
      <c r="I17" s="8"/>
      <c r="J17" s="8"/>
      <c r="K17" s="8"/>
      <c r="L17" s="8"/>
      <c r="M17" s="8"/>
    </row>
    <row r="18" customFormat="false" ht="22.35" hidden="false" customHeight="false" outlineLevel="0" collapsed="false">
      <c r="A18" s="8" t="s">
        <v>115</v>
      </c>
      <c r="B18" s="8" t="s">
        <v>107</v>
      </c>
      <c r="C18" s="8" t="s">
        <v>116</v>
      </c>
      <c r="D18" s="8" t="s">
        <v>117</v>
      </c>
      <c r="E18" s="8" t="s">
        <v>98</v>
      </c>
      <c r="F18" s="8" t="s">
        <v>118</v>
      </c>
      <c r="G18" s="8" t="s">
        <v>100</v>
      </c>
      <c r="H18" s="8" t="s">
        <v>119</v>
      </c>
      <c r="I18" s="8"/>
      <c r="J18" s="8"/>
      <c r="K18" s="8"/>
      <c r="L18" s="8"/>
      <c r="M18" s="8"/>
    </row>
    <row r="19" customFormat="false" ht="22.35" hidden="false" customHeight="false" outlineLevel="0" collapsed="false">
      <c r="A19" s="8" t="s">
        <v>120</v>
      </c>
      <c r="B19" s="8" t="s">
        <v>107</v>
      </c>
      <c r="C19" s="8" t="s">
        <v>121</v>
      </c>
      <c r="D19" s="8" t="s">
        <v>122</v>
      </c>
      <c r="E19" s="8" t="s">
        <v>98</v>
      </c>
      <c r="F19" s="8" t="s">
        <v>123</v>
      </c>
      <c r="G19" s="8" t="s">
        <v>100</v>
      </c>
      <c r="H19" s="8" t="s">
        <v>119</v>
      </c>
      <c r="I19" s="8"/>
      <c r="J19" s="8"/>
      <c r="K19" s="8"/>
      <c r="L19" s="8"/>
      <c r="M19" s="8"/>
    </row>
    <row r="20" customFormat="false" ht="22.35" hidden="false" customHeight="false" outlineLevel="0" collapsed="false">
      <c r="A20" s="8" t="s">
        <v>124</v>
      </c>
      <c r="B20" s="8" t="s">
        <v>107</v>
      </c>
      <c r="C20" s="8" t="s">
        <v>125</v>
      </c>
      <c r="D20" s="8" t="s">
        <v>126</v>
      </c>
      <c r="E20" s="8" t="s">
        <v>98</v>
      </c>
      <c r="F20" s="8" t="s">
        <v>127</v>
      </c>
      <c r="G20" s="8" t="s">
        <v>100</v>
      </c>
      <c r="H20" s="8" t="s">
        <v>119</v>
      </c>
      <c r="I20" s="8"/>
      <c r="J20" s="8"/>
      <c r="K20" s="8"/>
      <c r="L20" s="8"/>
      <c r="M20" s="8"/>
    </row>
    <row r="21" customFormat="false" ht="22.35" hidden="false" customHeight="false" outlineLevel="0" collapsed="false">
      <c r="A21" s="8" t="s">
        <v>128</v>
      </c>
      <c r="B21" s="8" t="s">
        <v>107</v>
      </c>
      <c r="C21" s="8" t="s">
        <v>129</v>
      </c>
      <c r="D21" s="8" t="s">
        <v>130</v>
      </c>
      <c r="E21" s="8" t="s">
        <v>131</v>
      </c>
      <c r="F21" s="8" t="s">
        <v>132</v>
      </c>
      <c r="G21" s="8" t="s">
        <v>100</v>
      </c>
      <c r="H21" s="8" t="s">
        <v>119</v>
      </c>
      <c r="I21" s="8"/>
      <c r="J21" s="8"/>
      <c r="K21" s="8"/>
      <c r="L21" s="8"/>
      <c r="M21" s="8"/>
    </row>
    <row r="22" customFormat="false" ht="15" hidden="false" customHeight="false" outlineLevel="0" collapsed="false">
      <c r="A22" s="8" t="s">
        <v>133</v>
      </c>
      <c r="B22" s="8" t="s">
        <v>107</v>
      </c>
      <c r="C22" s="8" t="s">
        <v>134</v>
      </c>
      <c r="D22" s="8" t="s">
        <v>135</v>
      </c>
      <c r="E22" s="8" t="s">
        <v>136</v>
      </c>
      <c r="F22" s="8" t="s">
        <v>137</v>
      </c>
      <c r="G22" s="8" t="s">
        <v>100</v>
      </c>
      <c r="H22" s="8" t="s">
        <v>119</v>
      </c>
      <c r="I22" s="8"/>
      <c r="J22" s="8"/>
      <c r="K22" s="8"/>
      <c r="L22" s="8"/>
      <c r="M22" s="8"/>
    </row>
    <row r="23" customFormat="false" ht="22.35" hidden="false" customHeight="false" outlineLevel="0" collapsed="false">
      <c r="A23" s="7" t="s">
        <v>138</v>
      </c>
      <c r="B23" s="7" t="s">
        <v>139</v>
      </c>
      <c r="C23" s="7" t="s">
        <v>140</v>
      </c>
      <c r="D23" s="7" t="s">
        <v>141</v>
      </c>
      <c r="E23" s="7" t="s">
        <v>104</v>
      </c>
      <c r="F23" s="7" t="s">
        <v>142</v>
      </c>
      <c r="G23" s="7" t="s">
        <v>94</v>
      </c>
      <c r="H23" s="7" t="s">
        <v>48</v>
      </c>
      <c r="I23" s="7"/>
      <c r="J23" s="7"/>
      <c r="K23" s="7"/>
      <c r="L23" s="7"/>
      <c r="M23" s="7"/>
    </row>
    <row r="24" customFormat="false" ht="22.35" hidden="false" customHeight="false" outlineLevel="0" collapsed="false">
      <c r="A24" s="8" t="s">
        <v>143</v>
      </c>
      <c r="B24" s="8" t="s">
        <v>139</v>
      </c>
      <c r="C24" s="8" t="s">
        <v>144</v>
      </c>
      <c r="D24" s="8" t="s">
        <v>145</v>
      </c>
      <c r="E24" s="8" t="s">
        <v>104</v>
      </c>
      <c r="F24" s="8" t="s">
        <v>146</v>
      </c>
      <c r="G24" s="8" t="s">
        <v>94</v>
      </c>
      <c r="H24" s="8" t="s">
        <v>147</v>
      </c>
      <c r="I24" s="8"/>
      <c r="J24" s="8"/>
      <c r="K24" s="8"/>
      <c r="L24" s="8"/>
      <c r="M24" s="8"/>
    </row>
    <row r="25" customFormat="false" ht="22.35" hidden="false" customHeight="false" outlineLevel="0" collapsed="false">
      <c r="A25" s="8" t="s">
        <v>148</v>
      </c>
      <c r="B25" s="8" t="s">
        <v>139</v>
      </c>
      <c r="C25" s="8" t="s">
        <v>149</v>
      </c>
      <c r="D25" s="8" t="s">
        <v>150</v>
      </c>
      <c r="E25" s="8" t="s">
        <v>151</v>
      </c>
      <c r="F25" s="8" t="s">
        <v>152</v>
      </c>
      <c r="G25" s="8" t="s">
        <v>94</v>
      </c>
      <c r="H25" s="8" t="s">
        <v>147</v>
      </c>
      <c r="I25" s="8"/>
      <c r="J25" s="8"/>
      <c r="K25" s="8"/>
      <c r="L25" s="8"/>
      <c r="M25" s="8"/>
    </row>
    <row r="26" customFormat="false" ht="22.35" hidden="false" customHeight="false" outlineLevel="0" collapsed="false">
      <c r="A26" s="8" t="s">
        <v>153</v>
      </c>
      <c r="B26" s="8" t="s">
        <v>139</v>
      </c>
      <c r="C26" s="8" t="s">
        <v>154</v>
      </c>
      <c r="D26" s="8" t="s">
        <v>155</v>
      </c>
      <c r="E26" s="8" t="s">
        <v>151</v>
      </c>
      <c r="F26" s="8" t="s">
        <v>156</v>
      </c>
      <c r="G26" s="8" t="s">
        <v>72</v>
      </c>
      <c r="H26" s="8" t="s">
        <v>119</v>
      </c>
      <c r="I26" s="8"/>
      <c r="J26" s="8"/>
      <c r="K26" s="8"/>
      <c r="L26" s="8"/>
      <c r="M26" s="8"/>
    </row>
    <row r="27" customFormat="false" ht="22.35" hidden="false" customHeight="false" outlineLevel="0" collapsed="false">
      <c r="A27" s="8" t="s">
        <v>157</v>
      </c>
      <c r="B27" s="8" t="s">
        <v>139</v>
      </c>
      <c r="C27" s="8" t="s">
        <v>158</v>
      </c>
      <c r="D27" s="8" t="s">
        <v>159</v>
      </c>
      <c r="E27" s="8" t="s">
        <v>104</v>
      </c>
      <c r="F27" s="8" t="s">
        <v>160</v>
      </c>
      <c r="G27" s="8" t="s">
        <v>94</v>
      </c>
      <c r="H27" s="8" t="s">
        <v>48</v>
      </c>
      <c r="I27" s="8"/>
      <c r="J27" s="8"/>
      <c r="K27" s="8"/>
      <c r="L27" s="8"/>
      <c r="M27" s="8"/>
    </row>
    <row r="28" customFormat="false" ht="22.35" hidden="false" customHeight="false" outlineLevel="0" collapsed="false">
      <c r="A28" s="8" t="s">
        <v>161</v>
      </c>
      <c r="B28" s="8" t="s">
        <v>139</v>
      </c>
      <c r="C28" s="8" t="s">
        <v>162</v>
      </c>
      <c r="D28" s="8" t="s">
        <v>163</v>
      </c>
      <c r="E28" s="8" t="s">
        <v>104</v>
      </c>
      <c r="F28" s="8" t="s">
        <v>164</v>
      </c>
      <c r="G28" s="8" t="s">
        <v>100</v>
      </c>
      <c r="H28" s="8" t="s">
        <v>119</v>
      </c>
      <c r="I28" s="8"/>
      <c r="J28" s="8"/>
      <c r="K28" s="8"/>
      <c r="L28" s="8"/>
      <c r="M28" s="8"/>
    </row>
    <row r="29" customFormat="false" ht="22.35" hidden="false" customHeight="false" outlineLevel="0" collapsed="false">
      <c r="A29" s="8" t="s">
        <v>165</v>
      </c>
      <c r="B29" s="8" t="s">
        <v>139</v>
      </c>
      <c r="C29" s="8" t="s">
        <v>166</v>
      </c>
      <c r="D29" s="8" t="s">
        <v>167</v>
      </c>
      <c r="E29" s="8" t="s">
        <v>104</v>
      </c>
      <c r="F29" s="8" t="s">
        <v>168</v>
      </c>
      <c r="G29" s="8" t="s">
        <v>100</v>
      </c>
      <c r="H29" s="8" t="s">
        <v>119</v>
      </c>
      <c r="I29" s="8"/>
      <c r="J29" s="8"/>
      <c r="K29" s="8"/>
      <c r="L29" s="8"/>
      <c r="M29" s="8"/>
    </row>
    <row r="30" customFormat="false" ht="22.35" hidden="false" customHeight="false" outlineLevel="0" collapsed="false">
      <c r="A30" s="8" t="s">
        <v>169</v>
      </c>
      <c r="B30" s="8" t="s">
        <v>139</v>
      </c>
      <c r="C30" s="8" t="s">
        <v>170</v>
      </c>
      <c r="D30" s="8" t="s">
        <v>171</v>
      </c>
      <c r="E30" s="8" t="s">
        <v>104</v>
      </c>
      <c r="F30" s="8" t="s">
        <v>172</v>
      </c>
      <c r="G30" s="8" t="s">
        <v>100</v>
      </c>
      <c r="H30" s="8" t="s">
        <v>119</v>
      </c>
      <c r="I30" s="8"/>
      <c r="J30" s="8"/>
      <c r="K30" s="8"/>
      <c r="L30" s="8"/>
      <c r="M30" s="8"/>
    </row>
    <row r="31" customFormat="false" ht="22.35" hidden="false" customHeight="false" outlineLevel="0" collapsed="false">
      <c r="A31" s="8" t="s">
        <v>173</v>
      </c>
      <c r="B31" s="8" t="s">
        <v>139</v>
      </c>
      <c r="C31" s="8" t="s">
        <v>174</v>
      </c>
      <c r="D31" s="8" t="s">
        <v>175</v>
      </c>
      <c r="E31" s="8" t="s">
        <v>104</v>
      </c>
      <c r="F31" s="8" t="s">
        <v>176</v>
      </c>
      <c r="G31" s="8" t="s">
        <v>100</v>
      </c>
      <c r="H31" s="8" t="s">
        <v>119</v>
      </c>
      <c r="I31" s="8"/>
      <c r="J31" s="8"/>
      <c r="K31" s="8"/>
      <c r="L31" s="8"/>
      <c r="M31" s="8"/>
    </row>
    <row r="32" customFormat="false" ht="22.35" hidden="false" customHeight="false" outlineLevel="0" collapsed="false">
      <c r="A32" s="8" t="s">
        <v>177</v>
      </c>
      <c r="B32" s="8" t="s">
        <v>139</v>
      </c>
      <c r="C32" s="8" t="s">
        <v>178</v>
      </c>
      <c r="D32" s="8" t="s">
        <v>179</v>
      </c>
      <c r="E32" s="8" t="s">
        <v>104</v>
      </c>
      <c r="F32" s="8" t="s">
        <v>180</v>
      </c>
      <c r="G32" s="8" t="s">
        <v>100</v>
      </c>
      <c r="H32" s="8" t="s">
        <v>119</v>
      </c>
      <c r="I32" s="8"/>
      <c r="J32" s="8"/>
      <c r="K32" s="8"/>
      <c r="L32" s="8"/>
      <c r="M32" s="8"/>
    </row>
    <row r="33" customFormat="false" ht="22.35" hidden="false" customHeight="false" outlineLevel="0" collapsed="false">
      <c r="A33" s="8" t="s">
        <v>181</v>
      </c>
      <c r="B33" s="8" t="s">
        <v>139</v>
      </c>
      <c r="C33" s="8" t="s">
        <v>182</v>
      </c>
      <c r="D33" s="8" t="s">
        <v>183</v>
      </c>
      <c r="E33" s="8" t="s">
        <v>184</v>
      </c>
      <c r="F33" s="8" t="s">
        <v>185</v>
      </c>
      <c r="G33" s="8" t="s">
        <v>94</v>
      </c>
      <c r="H33" s="8" t="s">
        <v>119</v>
      </c>
      <c r="I33" s="8"/>
      <c r="J33" s="8"/>
      <c r="K33" s="8"/>
      <c r="L33" s="8"/>
      <c r="M33" s="8"/>
    </row>
    <row r="34" customFormat="false" ht="22.35" hidden="false" customHeight="false" outlineLevel="0" collapsed="false">
      <c r="A34" s="8" t="s">
        <v>186</v>
      </c>
      <c r="B34" s="8" t="s">
        <v>139</v>
      </c>
      <c r="C34" s="8" t="s">
        <v>187</v>
      </c>
      <c r="D34" s="8" t="s">
        <v>188</v>
      </c>
      <c r="E34" s="8" t="s">
        <v>104</v>
      </c>
      <c r="F34" s="8" t="s">
        <v>189</v>
      </c>
      <c r="G34" s="8" t="s">
        <v>94</v>
      </c>
      <c r="H34" s="8" t="s">
        <v>48</v>
      </c>
      <c r="I34" s="8"/>
      <c r="J34" s="8"/>
      <c r="K34" s="8"/>
      <c r="L34" s="8"/>
      <c r="M34" s="8"/>
    </row>
    <row r="35" customFormat="false" ht="22.35" hidden="false" customHeight="false" outlineLevel="0" collapsed="false">
      <c r="A35" s="8" t="s">
        <v>190</v>
      </c>
      <c r="B35" s="8" t="s">
        <v>139</v>
      </c>
      <c r="C35" s="8" t="s">
        <v>191</v>
      </c>
      <c r="D35" s="8" t="s">
        <v>192</v>
      </c>
      <c r="E35" s="8" t="s">
        <v>193</v>
      </c>
      <c r="F35" s="8" t="s">
        <v>194</v>
      </c>
      <c r="G35" s="8" t="s">
        <v>94</v>
      </c>
      <c r="H35" s="8" t="s">
        <v>119</v>
      </c>
      <c r="I35" s="8"/>
      <c r="J35" s="8"/>
      <c r="K35" s="8"/>
      <c r="L35" s="8"/>
      <c r="M35" s="8"/>
    </row>
    <row r="36" customFormat="false" ht="32.8" hidden="false" customHeight="false" outlineLevel="0" collapsed="false">
      <c r="A36" s="7" t="s">
        <v>195</v>
      </c>
      <c r="B36" s="7" t="s">
        <v>196</v>
      </c>
      <c r="C36" s="7" t="s">
        <v>197</v>
      </c>
      <c r="D36" s="7" t="s">
        <v>198</v>
      </c>
      <c r="E36" s="7" t="s">
        <v>131</v>
      </c>
      <c r="F36" s="7" t="s">
        <v>199</v>
      </c>
      <c r="G36" s="7" t="s">
        <v>72</v>
      </c>
      <c r="H36" s="7" t="s">
        <v>48</v>
      </c>
      <c r="I36" s="7"/>
      <c r="J36" s="7"/>
      <c r="K36" s="7"/>
      <c r="L36" s="7"/>
      <c r="M36" s="7"/>
    </row>
    <row r="37" customFormat="false" ht="15" hidden="false" customHeight="false" outlineLevel="0" collapsed="false">
      <c r="A37" s="8" t="s">
        <v>200</v>
      </c>
      <c r="B37" s="8" t="s">
        <v>196</v>
      </c>
      <c r="C37" s="8" t="s">
        <v>201</v>
      </c>
      <c r="D37" s="8" t="s">
        <v>202</v>
      </c>
      <c r="E37" s="8" t="s">
        <v>131</v>
      </c>
      <c r="F37" s="8" t="s">
        <v>203</v>
      </c>
      <c r="G37" s="8" t="s">
        <v>94</v>
      </c>
      <c r="H37" s="8" t="s">
        <v>204</v>
      </c>
      <c r="I37" s="8"/>
      <c r="J37" s="8"/>
      <c r="K37" s="8"/>
      <c r="L37" s="8"/>
      <c r="M37" s="8"/>
    </row>
    <row r="38" customFormat="false" ht="15" hidden="false" customHeight="false" outlineLevel="0" collapsed="false">
      <c r="A38" s="8" t="s">
        <v>205</v>
      </c>
      <c r="B38" s="8" t="s">
        <v>196</v>
      </c>
      <c r="C38" s="8" t="s">
        <v>206</v>
      </c>
      <c r="D38" s="8" t="s">
        <v>207</v>
      </c>
      <c r="E38" s="8" t="s">
        <v>131</v>
      </c>
      <c r="F38" s="8" t="s">
        <v>208</v>
      </c>
      <c r="G38" s="8" t="s">
        <v>94</v>
      </c>
      <c r="H38" s="8" t="s">
        <v>204</v>
      </c>
      <c r="I38" s="8"/>
      <c r="J38" s="8"/>
      <c r="K38" s="8"/>
      <c r="L38" s="8"/>
      <c r="M38" s="8"/>
    </row>
    <row r="39" customFormat="false" ht="15" hidden="false" customHeight="false" outlineLevel="0" collapsed="false">
      <c r="A39" s="8" t="s">
        <v>209</v>
      </c>
      <c r="B39" s="8" t="s">
        <v>196</v>
      </c>
      <c r="C39" s="8" t="s">
        <v>210</v>
      </c>
      <c r="D39" s="8" t="s">
        <v>211</v>
      </c>
      <c r="E39" s="8" t="s">
        <v>131</v>
      </c>
      <c r="F39" s="8" t="s">
        <v>208</v>
      </c>
      <c r="G39" s="8" t="s">
        <v>94</v>
      </c>
      <c r="H39" s="8" t="s">
        <v>204</v>
      </c>
      <c r="I39" s="8"/>
      <c r="J39" s="8"/>
      <c r="K39" s="8"/>
      <c r="L39" s="8"/>
      <c r="M39" s="8"/>
    </row>
    <row r="40" customFormat="false" ht="15" hidden="false" customHeight="false" outlineLevel="0" collapsed="false">
      <c r="A40" s="8" t="s">
        <v>212</v>
      </c>
      <c r="B40" s="8" t="s">
        <v>196</v>
      </c>
      <c r="C40" s="8" t="s">
        <v>213</v>
      </c>
      <c r="D40" s="8" t="s">
        <v>214</v>
      </c>
      <c r="E40" s="8" t="s">
        <v>131</v>
      </c>
      <c r="F40" s="8" t="s">
        <v>215</v>
      </c>
      <c r="G40" s="8" t="s">
        <v>100</v>
      </c>
      <c r="H40" s="8" t="s">
        <v>204</v>
      </c>
      <c r="I40" s="8"/>
      <c r="J40" s="8"/>
      <c r="K40" s="8"/>
      <c r="L40" s="8"/>
      <c r="M40" s="8"/>
    </row>
    <row r="41" customFormat="false" ht="15" hidden="false" customHeight="false" outlineLevel="0" collapsed="false">
      <c r="A41" s="8" t="s">
        <v>216</v>
      </c>
      <c r="B41" s="8" t="s">
        <v>196</v>
      </c>
      <c r="C41" s="8" t="s">
        <v>217</v>
      </c>
      <c r="D41" s="8" t="s">
        <v>218</v>
      </c>
      <c r="E41" s="8" t="s">
        <v>219</v>
      </c>
      <c r="F41" s="8" t="s">
        <v>220</v>
      </c>
      <c r="G41" s="8" t="s">
        <v>94</v>
      </c>
      <c r="H41" s="8" t="s">
        <v>119</v>
      </c>
      <c r="I41" s="8"/>
      <c r="J41" s="8"/>
      <c r="K41" s="8"/>
      <c r="L41" s="8"/>
      <c r="M41" s="8"/>
    </row>
    <row r="42" customFormat="false" ht="15" hidden="false" customHeight="false" outlineLevel="0" collapsed="false">
      <c r="A42" s="8" t="s">
        <v>221</v>
      </c>
      <c r="B42" s="8" t="s">
        <v>196</v>
      </c>
      <c r="C42" s="8" t="s">
        <v>222</v>
      </c>
      <c r="D42" s="8" t="s">
        <v>223</v>
      </c>
      <c r="E42" s="8" t="s">
        <v>131</v>
      </c>
      <c r="F42" s="8" t="s">
        <v>224</v>
      </c>
      <c r="G42" s="8" t="s">
        <v>94</v>
      </c>
      <c r="H42" s="8" t="s">
        <v>119</v>
      </c>
      <c r="I42" s="8"/>
      <c r="J42" s="8"/>
      <c r="K42" s="8"/>
      <c r="L42" s="8"/>
      <c r="M42" s="8"/>
    </row>
    <row r="43" customFormat="false" ht="22.35" hidden="false" customHeight="false" outlineLevel="0" collapsed="false">
      <c r="A43" s="8" t="s">
        <v>225</v>
      </c>
      <c r="B43" s="8" t="s">
        <v>196</v>
      </c>
      <c r="C43" s="8" t="s">
        <v>226</v>
      </c>
      <c r="D43" s="8" t="s">
        <v>227</v>
      </c>
      <c r="E43" s="8" t="s">
        <v>228</v>
      </c>
      <c r="F43" s="8" t="s">
        <v>229</v>
      </c>
      <c r="G43" s="8" t="s">
        <v>94</v>
      </c>
      <c r="H43" s="8" t="s">
        <v>204</v>
      </c>
      <c r="I43" s="8"/>
      <c r="J43" s="8"/>
      <c r="K43" s="8"/>
      <c r="L43" s="8"/>
      <c r="M43" s="8"/>
    </row>
    <row r="44" customFormat="false" ht="15" hidden="false" customHeight="false" outlineLevel="0" collapsed="false">
      <c r="A44" s="8" t="s">
        <v>230</v>
      </c>
      <c r="B44" s="8" t="s">
        <v>196</v>
      </c>
      <c r="C44" s="8" t="s">
        <v>231</v>
      </c>
      <c r="D44" s="8" t="s">
        <v>232</v>
      </c>
      <c r="E44" s="8" t="s">
        <v>228</v>
      </c>
      <c r="F44" s="8" t="s">
        <v>233</v>
      </c>
      <c r="G44" s="8" t="s">
        <v>94</v>
      </c>
      <c r="H44" s="8" t="s">
        <v>119</v>
      </c>
      <c r="I44" s="8"/>
      <c r="J44" s="8"/>
      <c r="K44" s="8"/>
      <c r="L44" s="8"/>
      <c r="M44" s="8"/>
    </row>
    <row r="45" customFormat="false" ht="15" hidden="false" customHeight="false" outlineLevel="0" collapsed="false">
      <c r="A45" s="8" t="s">
        <v>234</v>
      </c>
      <c r="B45" s="8" t="s">
        <v>196</v>
      </c>
      <c r="C45" s="8" t="s">
        <v>235</v>
      </c>
      <c r="D45" s="8" t="s">
        <v>236</v>
      </c>
      <c r="E45" s="8" t="s">
        <v>131</v>
      </c>
      <c r="F45" s="8" t="s">
        <v>237</v>
      </c>
      <c r="G45" s="8" t="s">
        <v>72</v>
      </c>
      <c r="H45" s="8" t="s">
        <v>119</v>
      </c>
      <c r="I45" s="8"/>
      <c r="J45" s="8"/>
      <c r="K45" s="8"/>
      <c r="L45" s="8"/>
      <c r="M45" s="8"/>
    </row>
    <row r="46" customFormat="false" ht="15" hidden="false" customHeight="false" outlineLevel="0" collapsed="false">
      <c r="A46" s="8" t="s">
        <v>238</v>
      </c>
      <c r="B46" s="8" t="s">
        <v>196</v>
      </c>
      <c r="C46" s="8" t="s">
        <v>239</v>
      </c>
      <c r="D46" s="8" t="s">
        <v>240</v>
      </c>
      <c r="E46" s="8" t="s">
        <v>131</v>
      </c>
      <c r="F46" s="8" t="s">
        <v>241</v>
      </c>
      <c r="G46" s="8" t="s">
        <v>100</v>
      </c>
      <c r="H46" s="8" t="s">
        <v>119</v>
      </c>
      <c r="I46" s="8"/>
      <c r="J46" s="8"/>
      <c r="K46" s="8"/>
      <c r="L46" s="8"/>
      <c r="M46" s="8"/>
    </row>
    <row r="47" customFormat="false" ht="15" hidden="false" customHeight="false" outlineLevel="0" collapsed="false">
      <c r="A47" s="8" t="s">
        <v>242</v>
      </c>
      <c r="B47" s="8" t="s">
        <v>196</v>
      </c>
      <c r="C47" s="8" t="s">
        <v>243</v>
      </c>
      <c r="D47" s="8" t="s">
        <v>244</v>
      </c>
      <c r="E47" s="8" t="s">
        <v>245</v>
      </c>
      <c r="F47" s="8" t="s">
        <v>246</v>
      </c>
      <c r="G47" s="8" t="s">
        <v>94</v>
      </c>
      <c r="H47" s="8" t="s">
        <v>204</v>
      </c>
      <c r="I47" s="8"/>
      <c r="J47" s="8"/>
      <c r="K47" s="8"/>
      <c r="L47" s="8"/>
      <c r="M47" s="8"/>
    </row>
    <row r="48" customFormat="false" ht="32.8" hidden="false" customHeight="false" outlineLevel="0" collapsed="false">
      <c r="A48" s="8" t="s">
        <v>247</v>
      </c>
      <c r="B48" s="8" t="s">
        <v>196</v>
      </c>
      <c r="C48" s="8" t="s">
        <v>248</v>
      </c>
      <c r="D48" s="8" t="s">
        <v>249</v>
      </c>
      <c r="E48" s="8" t="s">
        <v>131</v>
      </c>
      <c r="F48" s="8" t="s">
        <v>250</v>
      </c>
      <c r="G48" s="8" t="s">
        <v>100</v>
      </c>
      <c r="H48" s="8" t="s">
        <v>204</v>
      </c>
      <c r="I48" s="8"/>
      <c r="J48" s="8"/>
      <c r="K48" s="8"/>
      <c r="L48" s="8"/>
      <c r="M48" s="8"/>
    </row>
    <row r="49" customFormat="false" ht="22.35" hidden="false" customHeight="false" outlineLevel="0" collapsed="false">
      <c r="A49" s="8" t="s">
        <v>251</v>
      </c>
      <c r="B49" s="8" t="s">
        <v>196</v>
      </c>
      <c r="C49" s="8" t="s">
        <v>252</v>
      </c>
      <c r="D49" s="8" t="s">
        <v>253</v>
      </c>
      <c r="E49" s="8" t="s">
        <v>228</v>
      </c>
      <c r="F49" s="8" t="s">
        <v>254</v>
      </c>
      <c r="G49" s="8" t="s">
        <v>94</v>
      </c>
      <c r="H49" s="8" t="s">
        <v>119</v>
      </c>
      <c r="I49" s="8"/>
      <c r="J49" s="8"/>
      <c r="K49" s="8"/>
      <c r="L49" s="8"/>
      <c r="M49" s="8"/>
    </row>
    <row r="50" customFormat="false" ht="15" hidden="false" customHeight="false" outlineLevel="0" collapsed="false">
      <c r="A50" s="7" t="s">
        <v>255</v>
      </c>
      <c r="B50" s="7" t="s">
        <v>256</v>
      </c>
      <c r="C50" s="7" t="s">
        <v>257</v>
      </c>
      <c r="D50" s="7" t="s">
        <v>258</v>
      </c>
      <c r="E50" s="7" t="s">
        <v>98</v>
      </c>
      <c r="F50" s="7" t="s">
        <v>259</v>
      </c>
      <c r="G50" s="7" t="s">
        <v>100</v>
      </c>
      <c r="H50" s="7" t="s">
        <v>119</v>
      </c>
      <c r="I50" s="7"/>
      <c r="J50" s="7"/>
      <c r="K50" s="7"/>
      <c r="L50" s="7"/>
      <c r="M50" s="7"/>
    </row>
    <row r="51" customFormat="false" ht="22.35" hidden="false" customHeight="false" outlineLevel="0" collapsed="false">
      <c r="A51" s="8" t="s">
        <v>260</v>
      </c>
      <c r="B51" s="8" t="s">
        <v>256</v>
      </c>
      <c r="C51" s="8" t="s">
        <v>261</v>
      </c>
      <c r="D51" s="8" t="s">
        <v>262</v>
      </c>
      <c r="E51" s="8" t="s">
        <v>263</v>
      </c>
      <c r="F51" s="8" t="s">
        <v>264</v>
      </c>
      <c r="G51" s="8" t="s">
        <v>100</v>
      </c>
      <c r="H51" s="8" t="s">
        <v>119</v>
      </c>
      <c r="I51" s="8"/>
      <c r="J51" s="8"/>
      <c r="K51" s="8"/>
      <c r="L51" s="8"/>
      <c r="M51" s="8"/>
    </row>
    <row r="52" customFormat="false" ht="15" hidden="false" customHeight="false" outlineLevel="0" collapsed="false">
      <c r="A52" s="8" t="s">
        <v>265</v>
      </c>
      <c r="B52" s="8" t="s">
        <v>256</v>
      </c>
      <c r="C52" s="8" t="s">
        <v>266</v>
      </c>
      <c r="D52" s="8" t="s">
        <v>267</v>
      </c>
      <c r="E52" s="8" t="s">
        <v>104</v>
      </c>
      <c r="F52" s="8" t="s">
        <v>268</v>
      </c>
      <c r="G52" s="8" t="s">
        <v>100</v>
      </c>
      <c r="H52" s="8" t="s">
        <v>119</v>
      </c>
      <c r="I52" s="8"/>
      <c r="J52" s="8"/>
      <c r="K52" s="8"/>
      <c r="L52" s="8"/>
      <c r="M52" s="8"/>
    </row>
    <row r="53" customFormat="false" ht="22.35" hidden="false" customHeight="false" outlineLevel="0" collapsed="false">
      <c r="A53" s="8" t="s">
        <v>269</v>
      </c>
      <c r="B53" s="8" t="s">
        <v>256</v>
      </c>
      <c r="C53" s="8" t="s">
        <v>270</v>
      </c>
      <c r="D53" s="8" t="s">
        <v>271</v>
      </c>
      <c r="E53" s="8" t="s">
        <v>131</v>
      </c>
      <c r="F53" s="8" t="s">
        <v>272</v>
      </c>
      <c r="G53" s="8" t="s">
        <v>72</v>
      </c>
      <c r="H53" s="8" t="s">
        <v>119</v>
      </c>
      <c r="I53" s="8"/>
      <c r="J53" s="8"/>
      <c r="K53" s="8"/>
      <c r="L53" s="8"/>
      <c r="M53" s="8"/>
    </row>
    <row r="54" customFormat="false" ht="15" hidden="false" customHeight="false" outlineLevel="0" collapsed="false">
      <c r="A54" s="8" t="s">
        <v>273</v>
      </c>
      <c r="B54" s="8" t="s">
        <v>256</v>
      </c>
      <c r="C54" s="8" t="s">
        <v>274</v>
      </c>
      <c r="D54" s="8" t="s">
        <v>275</v>
      </c>
      <c r="E54" s="8" t="s">
        <v>276</v>
      </c>
      <c r="F54" s="8" t="s">
        <v>277</v>
      </c>
      <c r="G54" s="8" t="s">
        <v>100</v>
      </c>
      <c r="H54" s="8" t="s">
        <v>147</v>
      </c>
      <c r="I54" s="8"/>
      <c r="J54" s="8"/>
      <c r="K54" s="8"/>
      <c r="L54" s="8"/>
      <c r="M54" s="8"/>
    </row>
    <row r="55" customFormat="false" ht="15" hidden="false" customHeight="false" outlineLevel="0" collapsed="false">
      <c r="A55" s="8" t="s">
        <v>278</v>
      </c>
      <c r="B55" s="8" t="s">
        <v>256</v>
      </c>
      <c r="C55" s="8" t="s">
        <v>279</v>
      </c>
      <c r="D55" s="8" t="s">
        <v>280</v>
      </c>
      <c r="E55" s="8" t="s">
        <v>276</v>
      </c>
      <c r="F55" s="8" t="s">
        <v>281</v>
      </c>
      <c r="G55" s="8" t="s">
        <v>100</v>
      </c>
      <c r="H55" s="8" t="s">
        <v>119</v>
      </c>
      <c r="I55" s="8"/>
      <c r="J55" s="8"/>
      <c r="K55" s="8"/>
      <c r="L55" s="8"/>
      <c r="M55" s="8"/>
    </row>
    <row r="56" customFormat="false" ht="22.35" hidden="false" customHeight="false" outlineLevel="0" collapsed="false">
      <c r="A56" s="8" t="s">
        <v>282</v>
      </c>
      <c r="B56" s="8" t="s">
        <v>256</v>
      </c>
      <c r="C56" s="8" t="s">
        <v>283</v>
      </c>
      <c r="D56" s="8" t="s">
        <v>284</v>
      </c>
      <c r="E56" s="8" t="s">
        <v>285</v>
      </c>
      <c r="F56" s="8" t="s">
        <v>286</v>
      </c>
      <c r="G56" s="8" t="s">
        <v>100</v>
      </c>
      <c r="H56" s="8" t="s">
        <v>147</v>
      </c>
      <c r="I56" s="8"/>
      <c r="J56" s="8"/>
      <c r="K56" s="8"/>
      <c r="L56" s="8"/>
      <c r="M56" s="8"/>
    </row>
    <row r="57" customFormat="false" ht="22.35" hidden="false" customHeight="false" outlineLevel="0" collapsed="false">
      <c r="A57" s="8" t="s">
        <v>287</v>
      </c>
      <c r="B57" s="8" t="s">
        <v>256</v>
      </c>
      <c r="C57" s="8" t="s">
        <v>288</v>
      </c>
      <c r="D57" s="8" t="s">
        <v>289</v>
      </c>
      <c r="E57" s="8" t="s">
        <v>104</v>
      </c>
      <c r="F57" s="8" t="s">
        <v>290</v>
      </c>
      <c r="G57" s="8" t="s">
        <v>100</v>
      </c>
      <c r="H57" s="8" t="s">
        <v>147</v>
      </c>
      <c r="I57" s="8"/>
      <c r="J57" s="8"/>
      <c r="K57" s="8"/>
      <c r="L57" s="8"/>
      <c r="M57" s="8"/>
    </row>
    <row r="58" customFormat="false" ht="22.35" hidden="false" customHeight="false" outlineLevel="0" collapsed="false">
      <c r="A58" s="8" t="s">
        <v>291</v>
      </c>
      <c r="B58" s="8" t="s">
        <v>256</v>
      </c>
      <c r="C58" s="8" t="s">
        <v>292</v>
      </c>
      <c r="D58" s="8" t="s">
        <v>293</v>
      </c>
      <c r="E58" s="8" t="s">
        <v>294</v>
      </c>
      <c r="F58" s="8" t="s">
        <v>295</v>
      </c>
      <c r="G58" s="8" t="s">
        <v>72</v>
      </c>
      <c r="H58" s="8" t="s">
        <v>48</v>
      </c>
      <c r="I58" s="8"/>
      <c r="J58" s="8"/>
      <c r="K58" s="8"/>
      <c r="L58" s="8"/>
      <c r="M58" s="8"/>
    </row>
    <row r="59" customFormat="false" ht="22.35" hidden="false" customHeight="false" outlineLevel="0" collapsed="false">
      <c r="A59" s="8" t="s">
        <v>296</v>
      </c>
      <c r="B59" s="8" t="s">
        <v>256</v>
      </c>
      <c r="C59" s="8" t="s">
        <v>297</v>
      </c>
      <c r="D59" s="8" t="s">
        <v>298</v>
      </c>
      <c r="E59" s="8" t="s">
        <v>151</v>
      </c>
      <c r="F59" s="8" t="s">
        <v>299</v>
      </c>
      <c r="G59" s="8" t="s">
        <v>100</v>
      </c>
      <c r="H59" s="8" t="s">
        <v>147</v>
      </c>
      <c r="I59" s="8"/>
      <c r="J59" s="8"/>
      <c r="K59" s="8"/>
      <c r="L59" s="8"/>
      <c r="M59" s="8"/>
    </row>
    <row r="60" customFormat="false" ht="22.35" hidden="false" customHeight="false" outlineLevel="0" collapsed="false">
      <c r="A60" s="8" t="s">
        <v>300</v>
      </c>
      <c r="B60" s="8" t="s">
        <v>256</v>
      </c>
      <c r="C60" s="8" t="s">
        <v>301</v>
      </c>
      <c r="D60" s="8" t="s">
        <v>302</v>
      </c>
      <c r="E60" s="8" t="s">
        <v>276</v>
      </c>
      <c r="F60" s="8" t="s">
        <v>303</v>
      </c>
      <c r="G60" s="8" t="s">
        <v>100</v>
      </c>
      <c r="H60" s="8" t="s">
        <v>147</v>
      </c>
      <c r="I60" s="8"/>
      <c r="J60" s="8"/>
      <c r="K60" s="8"/>
      <c r="L60" s="8"/>
      <c r="M60" s="8"/>
    </row>
    <row r="61" customFormat="false" ht="32.8" hidden="false" customHeight="false" outlineLevel="0" collapsed="false">
      <c r="A61" s="8" t="s">
        <v>304</v>
      </c>
      <c r="B61" s="8" t="s">
        <v>256</v>
      </c>
      <c r="C61" s="8" t="s">
        <v>305</v>
      </c>
      <c r="D61" s="8" t="s">
        <v>306</v>
      </c>
      <c r="E61" s="8" t="s">
        <v>307</v>
      </c>
      <c r="F61" s="8" t="s">
        <v>308</v>
      </c>
      <c r="G61" s="8" t="s">
        <v>100</v>
      </c>
      <c r="H61" s="8" t="s">
        <v>147</v>
      </c>
      <c r="I61" s="8"/>
      <c r="J61" s="8"/>
      <c r="K61" s="8"/>
      <c r="L61" s="8"/>
      <c r="M61" s="8"/>
    </row>
    <row r="62" customFormat="false" ht="32.8" hidden="false" customHeight="false" outlineLevel="0" collapsed="false">
      <c r="A62" s="8" t="s">
        <v>309</v>
      </c>
      <c r="B62" s="8" t="s">
        <v>256</v>
      </c>
      <c r="C62" s="8" t="s">
        <v>310</v>
      </c>
      <c r="D62" s="8" t="s">
        <v>311</v>
      </c>
      <c r="E62" s="8" t="s">
        <v>312</v>
      </c>
      <c r="F62" s="8" t="s">
        <v>313</v>
      </c>
      <c r="G62" s="8" t="s">
        <v>72</v>
      </c>
      <c r="H62" s="8" t="s">
        <v>48</v>
      </c>
      <c r="I62" s="8"/>
      <c r="J62" s="8"/>
      <c r="K62" s="8"/>
      <c r="L62" s="8"/>
      <c r="M62" s="8"/>
    </row>
    <row r="63" customFormat="false" ht="32.8" hidden="false" customHeight="false" outlineLevel="0" collapsed="false">
      <c r="A63" s="7" t="s">
        <v>314</v>
      </c>
      <c r="B63" s="7" t="s">
        <v>315</v>
      </c>
      <c r="C63" s="7" t="s">
        <v>316</v>
      </c>
      <c r="D63" s="7" t="s">
        <v>317</v>
      </c>
      <c r="E63" s="7" t="s">
        <v>318</v>
      </c>
      <c r="F63" s="7" t="s">
        <v>319</v>
      </c>
      <c r="G63" s="7" t="s">
        <v>100</v>
      </c>
      <c r="H63" s="7" t="s">
        <v>119</v>
      </c>
      <c r="I63" s="7"/>
      <c r="J63" s="7"/>
      <c r="K63" s="7"/>
      <c r="L63" s="7"/>
      <c r="M63" s="7"/>
    </row>
    <row r="64" customFormat="false" ht="22.35" hidden="false" customHeight="false" outlineLevel="0" collapsed="false">
      <c r="A64" s="8" t="s">
        <v>320</v>
      </c>
      <c r="B64" s="8" t="s">
        <v>315</v>
      </c>
      <c r="C64" s="8" t="s">
        <v>321</v>
      </c>
      <c r="D64" s="8" t="s">
        <v>322</v>
      </c>
      <c r="E64" s="8" t="s">
        <v>323</v>
      </c>
      <c r="F64" s="8" t="s">
        <v>324</v>
      </c>
      <c r="G64" s="8" t="s">
        <v>72</v>
      </c>
      <c r="H64" s="8" t="s">
        <v>119</v>
      </c>
      <c r="I64" s="8"/>
      <c r="J64" s="8"/>
      <c r="K64" s="8"/>
      <c r="L64" s="8"/>
      <c r="M64" s="8"/>
    </row>
    <row r="65" customFormat="false" ht="22.35" hidden="false" customHeight="false" outlineLevel="0" collapsed="false">
      <c r="A65" s="8" t="s">
        <v>325</v>
      </c>
      <c r="B65" s="8" t="s">
        <v>315</v>
      </c>
      <c r="C65" s="8" t="s">
        <v>326</v>
      </c>
      <c r="D65" s="8" t="s">
        <v>327</v>
      </c>
      <c r="E65" s="8" t="s">
        <v>323</v>
      </c>
      <c r="F65" s="8" t="s">
        <v>328</v>
      </c>
      <c r="G65" s="8" t="s">
        <v>72</v>
      </c>
      <c r="H65" s="8" t="s">
        <v>119</v>
      </c>
      <c r="I65" s="8"/>
      <c r="J65" s="8"/>
      <c r="K65" s="8"/>
      <c r="L65" s="8"/>
      <c r="M65" s="8"/>
    </row>
    <row r="66" customFormat="false" ht="22.35" hidden="false" customHeight="false" outlineLevel="0" collapsed="false">
      <c r="A66" s="8" t="s">
        <v>329</v>
      </c>
      <c r="B66" s="8" t="s">
        <v>315</v>
      </c>
      <c r="C66" s="8" t="s">
        <v>330</v>
      </c>
      <c r="D66" s="8" t="s">
        <v>331</v>
      </c>
      <c r="E66" s="8" t="s">
        <v>323</v>
      </c>
      <c r="F66" s="8" t="s">
        <v>332</v>
      </c>
      <c r="G66" s="8" t="s">
        <v>72</v>
      </c>
      <c r="H66" s="8" t="s">
        <v>119</v>
      </c>
      <c r="I66" s="8"/>
      <c r="J66" s="8"/>
      <c r="K66" s="8"/>
      <c r="L66" s="8"/>
      <c r="M66" s="8"/>
    </row>
    <row r="67" customFormat="false" ht="22.35" hidden="false" customHeight="false" outlineLevel="0" collapsed="false">
      <c r="A67" s="8" t="s">
        <v>333</v>
      </c>
      <c r="B67" s="8" t="s">
        <v>315</v>
      </c>
      <c r="C67" s="8" t="s">
        <v>334</v>
      </c>
      <c r="D67" s="8" t="s">
        <v>335</v>
      </c>
      <c r="E67" s="8" t="s">
        <v>323</v>
      </c>
      <c r="F67" s="8" t="s">
        <v>336</v>
      </c>
      <c r="G67" s="8" t="s">
        <v>72</v>
      </c>
      <c r="H67" s="8" t="s">
        <v>119</v>
      </c>
      <c r="I67" s="8"/>
      <c r="J67" s="8"/>
      <c r="K67" s="8"/>
      <c r="L67" s="8"/>
      <c r="M67" s="8"/>
    </row>
    <row r="68" customFormat="false" ht="22.35" hidden="false" customHeight="false" outlineLevel="0" collapsed="false">
      <c r="A68" s="8" t="s">
        <v>337</v>
      </c>
      <c r="B68" s="8" t="s">
        <v>315</v>
      </c>
      <c r="C68" s="8" t="s">
        <v>338</v>
      </c>
      <c r="D68" s="8" t="s">
        <v>339</v>
      </c>
      <c r="E68" s="8" t="s">
        <v>340</v>
      </c>
      <c r="F68" s="8" t="s">
        <v>341</v>
      </c>
      <c r="G68" s="8" t="s">
        <v>72</v>
      </c>
      <c r="H68" s="8" t="s">
        <v>119</v>
      </c>
      <c r="I68" s="8"/>
      <c r="J68" s="8"/>
      <c r="K68" s="8"/>
      <c r="L68" s="8"/>
      <c r="M68" s="8"/>
    </row>
    <row r="69" customFormat="false" ht="15" hidden="false" customHeight="false" outlineLevel="0" collapsed="false">
      <c r="A69" s="7" t="s">
        <v>342</v>
      </c>
      <c r="B69" s="7" t="s">
        <v>343</v>
      </c>
      <c r="C69" s="7" t="s">
        <v>344</v>
      </c>
      <c r="D69" s="7" t="s">
        <v>345</v>
      </c>
      <c r="E69" s="7" t="s">
        <v>346</v>
      </c>
      <c r="F69" s="7" t="s">
        <v>347</v>
      </c>
      <c r="G69" s="7" t="s">
        <v>72</v>
      </c>
      <c r="H69" s="7" t="s">
        <v>119</v>
      </c>
      <c r="I69" s="7"/>
      <c r="J69" s="7"/>
      <c r="K69" s="7"/>
      <c r="L69" s="7"/>
      <c r="M69" s="7"/>
    </row>
    <row r="70" customFormat="false" ht="15" hidden="false" customHeight="false" outlineLevel="0" collapsed="false">
      <c r="A70" s="8" t="s">
        <v>348</v>
      </c>
      <c r="B70" s="8" t="s">
        <v>343</v>
      </c>
      <c r="C70" s="8" t="s">
        <v>349</v>
      </c>
      <c r="D70" s="8" t="s">
        <v>350</v>
      </c>
      <c r="E70" s="8" t="s">
        <v>346</v>
      </c>
      <c r="F70" s="8" t="s">
        <v>351</v>
      </c>
      <c r="G70" s="8" t="s">
        <v>72</v>
      </c>
      <c r="H70" s="8" t="s">
        <v>119</v>
      </c>
      <c r="I70" s="8"/>
      <c r="J70" s="8"/>
      <c r="K70" s="8"/>
      <c r="L70" s="8"/>
      <c r="M70" s="8"/>
    </row>
    <row r="71" customFormat="false" ht="15" hidden="false" customHeight="false" outlineLevel="0" collapsed="false">
      <c r="A71" s="8" t="s">
        <v>352</v>
      </c>
      <c r="B71" s="8" t="s">
        <v>343</v>
      </c>
      <c r="C71" s="8" t="s">
        <v>353</v>
      </c>
      <c r="D71" s="8" t="s">
        <v>354</v>
      </c>
      <c r="E71" s="8" t="s">
        <v>346</v>
      </c>
      <c r="F71" s="8" t="s">
        <v>355</v>
      </c>
      <c r="G71" s="8" t="s">
        <v>72</v>
      </c>
      <c r="H71" s="8" t="s">
        <v>119</v>
      </c>
      <c r="I71" s="8"/>
      <c r="J71" s="8"/>
      <c r="K71" s="8"/>
      <c r="L71" s="8"/>
      <c r="M71" s="8"/>
    </row>
    <row r="72" customFormat="false" ht="15" hidden="false" customHeight="false" outlineLevel="0" collapsed="false">
      <c r="A72" s="8" t="s">
        <v>356</v>
      </c>
      <c r="B72" s="8" t="s">
        <v>343</v>
      </c>
      <c r="C72" s="8" t="s">
        <v>357</v>
      </c>
      <c r="D72" s="8" t="s">
        <v>358</v>
      </c>
      <c r="E72" s="8" t="s">
        <v>359</v>
      </c>
      <c r="F72" s="8" t="s">
        <v>360</v>
      </c>
      <c r="G72" s="8" t="s">
        <v>72</v>
      </c>
      <c r="H72" s="8" t="s">
        <v>119</v>
      </c>
      <c r="I72" s="8"/>
      <c r="J72" s="8"/>
      <c r="K72" s="8"/>
      <c r="L72" s="8"/>
      <c r="M72" s="8"/>
    </row>
    <row r="73" customFormat="false" ht="15" hidden="false" customHeight="false" outlineLevel="0" collapsed="false">
      <c r="A73" s="8" t="s">
        <v>361</v>
      </c>
      <c r="B73" s="8" t="s">
        <v>343</v>
      </c>
      <c r="C73" s="8" t="s">
        <v>362</v>
      </c>
      <c r="D73" s="8" t="s">
        <v>363</v>
      </c>
      <c r="E73" s="8" t="s">
        <v>364</v>
      </c>
      <c r="F73" s="8" t="s">
        <v>365</v>
      </c>
      <c r="G73" s="8" t="s">
        <v>72</v>
      </c>
      <c r="H73" s="8" t="s">
        <v>119</v>
      </c>
      <c r="I73" s="8"/>
      <c r="J73" s="8"/>
      <c r="K73" s="8"/>
      <c r="L73" s="8"/>
      <c r="M73" s="8"/>
    </row>
    <row r="74" customFormat="false" ht="15" hidden="false" customHeight="false" outlineLevel="0" collapsed="false">
      <c r="A74" s="8" t="s">
        <v>366</v>
      </c>
      <c r="B74" s="8" t="s">
        <v>343</v>
      </c>
      <c r="C74" s="8" t="s">
        <v>367</v>
      </c>
      <c r="D74" s="8" t="s">
        <v>368</v>
      </c>
      <c r="E74" s="8" t="s">
        <v>369</v>
      </c>
      <c r="F74" s="8" t="s">
        <v>370</v>
      </c>
      <c r="G74" s="8" t="s">
        <v>72</v>
      </c>
      <c r="H74" s="8" t="s">
        <v>119</v>
      </c>
      <c r="I74" s="8"/>
      <c r="J74" s="8"/>
      <c r="K74" s="8"/>
      <c r="L74" s="8"/>
      <c r="M74" s="8"/>
    </row>
    <row r="75" customFormat="false" ht="15" hidden="false" customHeight="false" outlineLevel="0" collapsed="false">
      <c r="A75" s="7" t="s">
        <v>371</v>
      </c>
      <c r="B75" s="7" t="s">
        <v>372</v>
      </c>
      <c r="C75" s="7" t="s">
        <v>373</v>
      </c>
      <c r="D75" s="7" t="s">
        <v>374</v>
      </c>
      <c r="E75" s="7" t="s">
        <v>276</v>
      </c>
      <c r="F75" s="7" t="s">
        <v>375</v>
      </c>
      <c r="G75" s="7" t="s">
        <v>94</v>
      </c>
      <c r="H75" s="7" t="s">
        <v>147</v>
      </c>
      <c r="I75" s="7"/>
      <c r="J75" s="7"/>
      <c r="K75" s="7"/>
      <c r="L75" s="7"/>
      <c r="M75" s="7"/>
    </row>
    <row r="76" customFormat="false" ht="15" hidden="false" customHeight="false" outlineLevel="0" collapsed="false">
      <c r="A76" s="8" t="s">
        <v>376</v>
      </c>
      <c r="B76" s="8" t="s">
        <v>372</v>
      </c>
      <c r="C76" s="8" t="s">
        <v>377</v>
      </c>
      <c r="D76" s="8" t="s">
        <v>378</v>
      </c>
      <c r="E76" s="8" t="s">
        <v>276</v>
      </c>
      <c r="F76" s="8" t="s">
        <v>379</v>
      </c>
      <c r="G76" s="8" t="s">
        <v>47</v>
      </c>
      <c r="H76" s="8" t="s">
        <v>48</v>
      </c>
      <c r="I76" s="8"/>
      <c r="J76" s="8"/>
      <c r="K76" s="8"/>
      <c r="L76" s="8"/>
      <c r="M76" s="8"/>
    </row>
    <row r="77" customFormat="false" ht="15" hidden="false" customHeight="false" outlineLevel="0" collapsed="false">
      <c r="A77" s="8" t="s">
        <v>380</v>
      </c>
      <c r="B77" s="8" t="s">
        <v>372</v>
      </c>
      <c r="C77" s="8" t="s">
        <v>381</v>
      </c>
      <c r="D77" s="8" t="s">
        <v>382</v>
      </c>
      <c r="E77" s="8" t="s">
        <v>383</v>
      </c>
      <c r="F77" s="8" t="s">
        <v>384</v>
      </c>
      <c r="G77" s="8" t="s">
        <v>94</v>
      </c>
      <c r="H77" s="8" t="s">
        <v>147</v>
      </c>
      <c r="I77" s="8"/>
      <c r="J77" s="8"/>
      <c r="K77" s="8"/>
      <c r="L77" s="8"/>
      <c r="M77" s="8"/>
    </row>
    <row r="78" customFormat="false" ht="22.35" hidden="false" customHeight="false" outlineLevel="0" collapsed="false">
      <c r="A78" s="8" t="s">
        <v>385</v>
      </c>
      <c r="B78" s="8" t="s">
        <v>372</v>
      </c>
      <c r="C78" s="8" t="s">
        <v>386</v>
      </c>
      <c r="D78" s="8" t="s">
        <v>387</v>
      </c>
      <c r="E78" s="8" t="s">
        <v>383</v>
      </c>
      <c r="F78" s="8" t="s">
        <v>388</v>
      </c>
      <c r="G78" s="8" t="s">
        <v>94</v>
      </c>
      <c r="H78" s="8" t="s">
        <v>119</v>
      </c>
      <c r="I78" s="8"/>
      <c r="J78" s="8"/>
      <c r="K78" s="8"/>
      <c r="L78" s="8"/>
      <c r="M78" s="8"/>
    </row>
    <row r="79" customFormat="false" ht="15" hidden="false" customHeight="false" outlineLevel="0" collapsed="false">
      <c r="A79" s="8" t="s">
        <v>389</v>
      </c>
      <c r="B79" s="8" t="s">
        <v>372</v>
      </c>
      <c r="C79" s="8" t="s">
        <v>390</v>
      </c>
      <c r="D79" s="8" t="s">
        <v>391</v>
      </c>
      <c r="E79" s="8" t="s">
        <v>392</v>
      </c>
      <c r="F79" s="8" t="s">
        <v>393</v>
      </c>
      <c r="G79" s="8" t="s">
        <v>72</v>
      </c>
      <c r="H79" s="8" t="s">
        <v>119</v>
      </c>
      <c r="I79" s="8"/>
      <c r="J79" s="8"/>
      <c r="K79" s="8"/>
      <c r="L79" s="8"/>
      <c r="M79" s="8"/>
    </row>
    <row r="80" customFormat="false" ht="15" hidden="false" customHeight="false" outlineLevel="0" collapsed="false">
      <c r="A80" s="8" t="s">
        <v>394</v>
      </c>
      <c r="B80" s="8" t="s">
        <v>372</v>
      </c>
      <c r="C80" s="8" t="s">
        <v>395</v>
      </c>
      <c r="D80" s="8" t="s">
        <v>396</v>
      </c>
      <c r="E80" s="8" t="s">
        <v>397</v>
      </c>
      <c r="F80" s="8" t="s">
        <v>398</v>
      </c>
      <c r="G80" s="8" t="s">
        <v>47</v>
      </c>
      <c r="H80" s="8" t="s">
        <v>48</v>
      </c>
      <c r="I80" s="8"/>
      <c r="J80" s="8"/>
      <c r="K80" s="8"/>
      <c r="L80" s="8"/>
      <c r="M80" s="8"/>
    </row>
    <row r="81" customFormat="false" ht="15" hidden="false" customHeight="false" outlineLevel="0" collapsed="false">
      <c r="A81" s="8" t="s">
        <v>399</v>
      </c>
      <c r="B81" s="8" t="s">
        <v>372</v>
      </c>
      <c r="C81" s="8" t="s">
        <v>400</v>
      </c>
      <c r="D81" s="8" t="s">
        <v>401</v>
      </c>
      <c r="E81" s="8" t="s">
        <v>285</v>
      </c>
      <c r="F81" s="8" t="s">
        <v>402</v>
      </c>
      <c r="G81" s="8" t="s">
        <v>72</v>
      </c>
      <c r="H81" s="8" t="s">
        <v>119</v>
      </c>
      <c r="I81" s="8"/>
      <c r="J81" s="8"/>
      <c r="K81" s="8"/>
      <c r="L81" s="8"/>
      <c r="M81" s="8"/>
    </row>
    <row r="82" customFormat="false" ht="32.8" hidden="false" customHeight="false" outlineLevel="0" collapsed="false">
      <c r="A82" s="8" t="s">
        <v>403</v>
      </c>
      <c r="B82" s="8" t="s">
        <v>372</v>
      </c>
      <c r="C82" s="8" t="s">
        <v>404</v>
      </c>
      <c r="D82" s="8" t="s">
        <v>405</v>
      </c>
      <c r="E82" s="8" t="s">
        <v>406</v>
      </c>
      <c r="F82" s="8" t="s">
        <v>407</v>
      </c>
      <c r="G82" s="8" t="s">
        <v>94</v>
      </c>
      <c r="H82" s="8" t="s">
        <v>147</v>
      </c>
      <c r="I82" s="8"/>
      <c r="J82" s="8"/>
      <c r="K82" s="8"/>
      <c r="L82" s="8"/>
      <c r="M82" s="8"/>
    </row>
    <row r="83" customFormat="false" ht="15" hidden="false" customHeight="false" outlineLevel="0" collapsed="false">
      <c r="A83" s="7" t="s">
        <v>408</v>
      </c>
      <c r="B83" s="7" t="s">
        <v>409</v>
      </c>
      <c r="C83" s="7" t="s">
        <v>410</v>
      </c>
      <c r="D83" s="7" t="s">
        <v>411</v>
      </c>
      <c r="E83" s="7" t="s">
        <v>245</v>
      </c>
      <c r="F83" s="7" t="s">
        <v>412</v>
      </c>
      <c r="G83" s="7" t="s">
        <v>94</v>
      </c>
      <c r="H83" s="7" t="s">
        <v>48</v>
      </c>
      <c r="I83" s="7"/>
      <c r="J83" s="7"/>
      <c r="K83" s="7"/>
      <c r="L83" s="7"/>
      <c r="M83" s="7"/>
    </row>
    <row r="84" customFormat="false" ht="15" hidden="false" customHeight="false" outlineLevel="0" collapsed="false">
      <c r="A84" s="8" t="s">
        <v>413</v>
      </c>
      <c r="B84" s="8" t="s">
        <v>409</v>
      </c>
      <c r="C84" s="8" t="s">
        <v>414</v>
      </c>
      <c r="D84" s="8" t="s">
        <v>415</v>
      </c>
      <c r="E84" s="8" t="s">
        <v>416</v>
      </c>
      <c r="F84" s="8" t="s">
        <v>417</v>
      </c>
      <c r="G84" s="8" t="s">
        <v>94</v>
      </c>
      <c r="H84" s="8" t="s">
        <v>119</v>
      </c>
      <c r="I84" s="8"/>
      <c r="J84" s="8"/>
      <c r="K84" s="8"/>
      <c r="L84" s="8"/>
      <c r="M84" s="8"/>
    </row>
    <row r="85" customFormat="false" ht="22.35" hidden="false" customHeight="false" outlineLevel="0" collapsed="false">
      <c r="A85" s="8" t="s">
        <v>418</v>
      </c>
      <c r="B85" s="8" t="s">
        <v>409</v>
      </c>
      <c r="C85" s="8" t="s">
        <v>419</v>
      </c>
      <c r="D85" s="8" t="s">
        <v>420</v>
      </c>
      <c r="E85" s="8" t="s">
        <v>421</v>
      </c>
      <c r="F85" s="8" t="s">
        <v>422</v>
      </c>
      <c r="G85" s="8" t="s">
        <v>72</v>
      </c>
      <c r="H85" s="8" t="s">
        <v>48</v>
      </c>
      <c r="I85" s="8"/>
      <c r="J85" s="8"/>
      <c r="K85" s="8"/>
      <c r="L85" s="8"/>
      <c r="M85" s="8"/>
    </row>
    <row r="86" customFormat="false" ht="15" hidden="false" customHeight="false" outlineLevel="0" collapsed="false">
      <c r="A86" s="8" t="s">
        <v>423</v>
      </c>
      <c r="B86" s="8" t="s">
        <v>409</v>
      </c>
      <c r="C86" s="8" t="s">
        <v>424</v>
      </c>
      <c r="D86" s="8" t="s">
        <v>425</v>
      </c>
      <c r="E86" s="8" t="s">
        <v>426</v>
      </c>
      <c r="F86" s="8" t="s">
        <v>427</v>
      </c>
      <c r="G86" s="8" t="s">
        <v>72</v>
      </c>
      <c r="H86" s="8" t="s">
        <v>119</v>
      </c>
      <c r="I86" s="8"/>
      <c r="J86" s="8"/>
      <c r="K86" s="8"/>
      <c r="L86" s="8"/>
      <c r="M86" s="8"/>
    </row>
    <row r="87" customFormat="false" ht="15" hidden="false" customHeight="false" outlineLevel="0" collapsed="false">
      <c r="A87" s="8" t="s">
        <v>428</v>
      </c>
      <c r="B87" s="8" t="s">
        <v>409</v>
      </c>
      <c r="C87" s="8" t="s">
        <v>429</v>
      </c>
      <c r="D87" s="8" t="s">
        <v>430</v>
      </c>
      <c r="E87" s="8" t="s">
        <v>431</v>
      </c>
      <c r="F87" s="8" t="s">
        <v>432</v>
      </c>
      <c r="G87" s="8" t="s">
        <v>72</v>
      </c>
      <c r="H87" s="8" t="s">
        <v>119</v>
      </c>
      <c r="I87" s="8"/>
      <c r="J87" s="8"/>
      <c r="K87" s="8"/>
      <c r="L87" s="8"/>
      <c r="M87" s="8"/>
    </row>
    <row r="88" customFormat="false" ht="15" hidden="false" customHeight="false" outlineLevel="0" collapsed="false">
      <c r="A88" s="8" t="s">
        <v>433</v>
      </c>
      <c r="B88" s="8" t="s">
        <v>409</v>
      </c>
      <c r="C88" s="8" t="s">
        <v>434</v>
      </c>
      <c r="D88" s="8" t="s">
        <v>435</v>
      </c>
      <c r="E88" s="8" t="s">
        <v>436</v>
      </c>
      <c r="F88" s="8" t="s">
        <v>437</v>
      </c>
      <c r="G88" s="8" t="s">
        <v>47</v>
      </c>
      <c r="H88" s="8" t="s">
        <v>48</v>
      </c>
      <c r="I88" s="8"/>
      <c r="J88" s="8"/>
      <c r="K88" s="8"/>
      <c r="L88" s="8"/>
      <c r="M88" s="8"/>
    </row>
  </sheetData>
  <dataValidations count="2">
    <dataValidation allowBlank="true" errorStyle="stop" operator="between" showDropDown="false" showErrorMessage="false" showInputMessage="false" sqref="I4:I88" type="list">
      <formula1>"Extracted,Redacted,Not found,Not reviewed,N/A"</formula1>
      <formula2>0</formula2>
    </dataValidation>
    <dataValidation allowBlank="true" errorStyle="stop" operator="between" showDropDown="false" showErrorMessage="false" showInputMessage="false" sqref="L4:L88" type="list">
      <formula1>"RED,AMBER,GREEN,N/A"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8" min="6" style="0" width="26"/>
    <col collapsed="false" customWidth="true" hidden="false" outlineLevel="0" max="9" min="9" style="0" width="28"/>
    <col collapsed="false" customWidth="true" hidden="false" outlineLevel="0" max="13" min="10" style="0" width="30"/>
    <col collapsed="false" customWidth="true" hidden="false" outlineLevel="0" max="15" min="14" style="0" width="11"/>
  </cols>
  <sheetData>
    <row r="1" customFormat="false" ht="15" hidden="false" customHeight="false" outlineLevel="0" collapsed="false">
      <c r="A1" s="9" t="s">
        <v>438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customFormat="false" ht="32.8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15</v>
      </c>
      <c r="E3" s="6" t="s">
        <v>17</v>
      </c>
      <c r="F3" s="6" t="s">
        <v>439</v>
      </c>
      <c r="G3" s="6" t="s">
        <v>440</v>
      </c>
      <c r="H3" s="6" t="s">
        <v>441</v>
      </c>
      <c r="I3" s="6" t="s">
        <v>442</v>
      </c>
      <c r="J3" s="6" t="s">
        <v>443</v>
      </c>
      <c r="K3" s="6" t="s">
        <v>444</v>
      </c>
      <c r="L3" s="6" t="s">
        <v>445</v>
      </c>
      <c r="M3" s="6" t="s">
        <v>446</v>
      </c>
      <c r="N3" s="6" t="s">
        <v>447</v>
      </c>
      <c r="O3" s="6" t="s">
        <v>448</v>
      </c>
    </row>
    <row r="4" customFormat="false" ht="15" hidden="false" customHeight="false" outlineLevel="0" collapsed="false">
      <c r="A4" s="7" t="s">
        <v>41</v>
      </c>
      <c r="B4" s="7" t="s">
        <v>42</v>
      </c>
      <c r="C4" s="7" t="s">
        <v>43</v>
      </c>
      <c r="D4" s="7" t="s">
        <v>47</v>
      </c>
      <c r="E4" s="7" t="s">
        <v>48</v>
      </c>
      <c r="F4" s="8" t="s">
        <v>449</v>
      </c>
      <c r="G4" s="8" t="s">
        <v>449</v>
      </c>
      <c r="H4" s="8" t="s">
        <v>449</v>
      </c>
      <c r="I4" s="8" t="s">
        <v>449</v>
      </c>
      <c r="J4" s="8" t="s">
        <v>450</v>
      </c>
      <c r="K4" s="8" t="s">
        <v>450</v>
      </c>
      <c r="L4" s="8" t="s">
        <v>450</v>
      </c>
      <c r="M4" s="8" t="s">
        <v>450</v>
      </c>
      <c r="N4" s="10" t="s">
        <v>451</v>
      </c>
      <c r="O4" s="10" t="s">
        <v>451</v>
      </c>
    </row>
    <row r="5" customFormat="false" ht="15" hidden="false" customHeight="false" outlineLevel="0" collapsed="false">
      <c r="A5" s="8" t="s">
        <v>49</v>
      </c>
      <c r="B5" s="8" t="s">
        <v>42</v>
      </c>
      <c r="C5" s="8" t="s">
        <v>50</v>
      </c>
      <c r="D5" s="8" t="s">
        <v>47</v>
      </c>
      <c r="E5" s="8" t="s">
        <v>48</v>
      </c>
      <c r="F5" s="8" t="s">
        <v>452</v>
      </c>
      <c r="G5" s="8" t="s">
        <v>453</v>
      </c>
      <c r="H5" s="8" t="s">
        <v>454</v>
      </c>
      <c r="I5" s="8" t="s">
        <v>455</v>
      </c>
      <c r="J5" s="8" t="s">
        <v>456</v>
      </c>
      <c r="K5" s="8" t="s">
        <v>457</v>
      </c>
      <c r="L5" s="8" t="s">
        <v>458</v>
      </c>
      <c r="M5" s="8" t="s">
        <v>458</v>
      </c>
      <c r="N5" s="11" t="s">
        <v>459</v>
      </c>
      <c r="O5" s="11" t="s">
        <v>459</v>
      </c>
    </row>
    <row r="6" customFormat="false" ht="22.35" hidden="false" customHeight="false" outlineLevel="0" collapsed="false">
      <c r="A6" s="8" t="s">
        <v>53</v>
      </c>
      <c r="B6" s="8" t="s">
        <v>42</v>
      </c>
      <c r="C6" s="8" t="s">
        <v>54</v>
      </c>
      <c r="D6" s="8" t="s">
        <v>47</v>
      </c>
      <c r="E6" s="8" t="s">
        <v>48</v>
      </c>
      <c r="F6" s="8" t="s">
        <v>460</v>
      </c>
      <c r="G6" s="8" t="s">
        <v>460</v>
      </c>
      <c r="H6" s="8" t="s">
        <v>460</v>
      </c>
      <c r="I6" s="8" t="s">
        <v>460</v>
      </c>
      <c r="J6" s="8" t="s">
        <v>461</v>
      </c>
      <c r="K6" s="8" t="s">
        <v>462</v>
      </c>
      <c r="L6" s="8" t="s">
        <v>463</v>
      </c>
      <c r="M6" s="8" t="s">
        <v>463</v>
      </c>
      <c r="N6" s="11" t="s">
        <v>459</v>
      </c>
      <c r="O6" s="12" t="s">
        <v>464</v>
      </c>
    </row>
    <row r="7" customFormat="false" ht="15" hidden="false" customHeight="false" outlineLevel="0" collapsed="false">
      <c r="A7" s="8" t="s">
        <v>58</v>
      </c>
      <c r="B7" s="8" t="s">
        <v>42</v>
      </c>
      <c r="C7" s="8" t="s">
        <v>59</v>
      </c>
      <c r="D7" s="8" t="s">
        <v>47</v>
      </c>
      <c r="E7" s="8" t="s">
        <v>48</v>
      </c>
      <c r="F7" s="8" t="s">
        <v>465</v>
      </c>
      <c r="G7" s="8" t="s">
        <v>466</v>
      </c>
      <c r="H7" s="8" t="s">
        <v>467</v>
      </c>
      <c r="I7" s="8" t="s">
        <v>468</v>
      </c>
      <c r="J7" s="8" t="s">
        <v>469</v>
      </c>
      <c r="K7" s="8" t="s">
        <v>470</v>
      </c>
      <c r="L7" s="8" t="s">
        <v>471</v>
      </c>
      <c r="M7" s="8" t="s">
        <v>471</v>
      </c>
      <c r="N7" s="8" t="s">
        <v>472</v>
      </c>
      <c r="O7" s="8" t="s">
        <v>472</v>
      </c>
    </row>
    <row r="8" customFormat="false" ht="22.35" hidden="false" customHeight="false" outlineLevel="0" collapsed="false">
      <c r="A8" s="8" t="s">
        <v>63</v>
      </c>
      <c r="B8" s="8" t="s">
        <v>42</v>
      </c>
      <c r="C8" s="8" t="s">
        <v>64</v>
      </c>
      <c r="D8" s="8" t="s">
        <v>47</v>
      </c>
      <c r="E8" s="8" t="s">
        <v>48</v>
      </c>
      <c r="F8" s="8" t="s">
        <v>473</v>
      </c>
      <c r="G8" s="8" t="s">
        <v>473</v>
      </c>
      <c r="H8" s="8" t="s">
        <v>473</v>
      </c>
      <c r="I8" s="8" t="s">
        <v>473</v>
      </c>
      <c r="J8" s="8" t="s">
        <v>474</v>
      </c>
      <c r="K8" s="8" t="s">
        <v>474</v>
      </c>
      <c r="L8" s="8" t="s">
        <v>474</v>
      </c>
      <c r="M8" s="8" t="s">
        <v>474</v>
      </c>
      <c r="N8" s="11" t="s">
        <v>459</v>
      </c>
      <c r="O8" s="11" t="s">
        <v>459</v>
      </c>
    </row>
    <row r="9" customFormat="false" ht="22.35" hidden="false" customHeight="false" outlineLevel="0" collapsed="false">
      <c r="A9" s="8" t="s">
        <v>68</v>
      </c>
      <c r="B9" s="8" t="s">
        <v>42</v>
      </c>
      <c r="C9" s="8" t="s">
        <v>69</v>
      </c>
      <c r="D9" s="8" t="s">
        <v>72</v>
      </c>
      <c r="E9" s="8" t="s">
        <v>48</v>
      </c>
      <c r="F9" s="8" t="s">
        <v>475</v>
      </c>
      <c r="G9" s="8" t="s">
        <v>475</v>
      </c>
      <c r="H9" s="8" t="s">
        <v>475</v>
      </c>
      <c r="I9" s="8" t="s">
        <v>475</v>
      </c>
      <c r="J9" s="8" t="s">
        <v>476</v>
      </c>
      <c r="K9" s="8" t="s">
        <v>477</v>
      </c>
      <c r="L9" s="8" t="s">
        <v>478</v>
      </c>
      <c r="M9" s="8" t="s">
        <v>478</v>
      </c>
      <c r="N9" s="8" t="s">
        <v>479</v>
      </c>
      <c r="O9" s="11" t="s">
        <v>459</v>
      </c>
    </row>
    <row r="10" customFormat="false" ht="32.8" hidden="false" customHeight="false" outlineLevel="0" collapsed="false">
      <c r="A10" s="8" t="s">
        <v>73</v>
      </c>
      <c r="B10" s="8" t="s">
        <v>42</v>
      </c>
      <c r="C10" s="8" t="s">
        <v>74</v>
      </c>
      <c r="D10" s="8" t="s">
        <v>47</v>
      </c>
      <c r="E10" s="8" t="s">
        <v>48</v>
      </c>
      <c r="F10" s="8" t="s">
        <v>480</v>
      </c>
      <c r="G10" s="8" t="s">
        <v>480</v>
      </c>
      <c r="H10" s="8" t="s">
        <v>480</v>
      </c>
      <c r="I10" s="8" t="s">
        <v>481</v>
      </c>
      <c r="J10" s="8" t="s">
        <v>482</v>
      </c>
      <c r="K10" s="8" t="s">
        <v>483</v>
      </c>
      <c r="L10" s="8" t="s">
        <v>483</v>
      </c>
      <c r="M10" s="8" t="s">
        <v>483</v>
      </c>
      <c r="N10" s="11" t="s">
        <v>459</v>
      </c>
      <c r="O10" s="11" t="s">
        <v>459</v>
      </c>
    </row>
    <row r="11" customFormat="false" ht="22.35" hidden="false" customHeight="false" outlineLevel="0" collapsed="false">
      <c r="A11" s="8" t="s">
        <v>78</v>
      </c>
      <c r="B11" s="8" t="s">
        <v>42</v>
      </c>
      <c r="C11" s="8" t="s">
        <v>79</v>
      </c>
      <c r="D11" s="8" t="s">
        <v>47</v>
      </c>
      <c r="E11" s="8" t="s">
        <v>48</v>
      </c>
      <c r="F11" s="8" t="s">
        <v>484</v>
      </c>
      <c r="G11" s="8" t="s">
        <v>485</v>
      </c>
      <c r="H11" s="8" t="s">
        <v>485</v>
      </c>
      <c r="I11" s="8" t="s">
        <v>485</v>
      </c>
      <c r="J11" s="8" t="s">
        <v>486</v>
      </c>
      <c r="K11" s="8" t="s">
        <v>486</v>
      </c>
      <c r="L11" s="8" t="s">
        <v>487</v>
      </c>
      <c r="M11" s="8" t="s">
        <v>488</v>
      </c>
      <c r="N11" s="11" t="s">
        <v>459</v>
      </c>
      <c r="O11" s="12" t="s">
        <v>464</v>
      </c>
    </row>
    <row r="12" customFormat="false" ht="15" hidden="false" customHeight="false" outlineLevel="0" collapsed="false">
      <c r="A12" s="7" t="s">
        <v>83</v>
      </c>
      <c r="B12" s="7" t="s">
        <v>84</v>
      </c>
      <c r="C12" s="7" t="s">
        <v>85</v>
      </c>
      <c r="D12" s="7" t="s">
        <v>47</v>
      </c>
      <c r="E12" s="7" t="s">
        <v>48</v>
      </c>
      <c r="F12" s="8" t="s">
        <v>489</v>
      </c>
      <c r="G12" s="8" t="s">
        <v>489</v>
      </c>
      <c r="H12" s="8" t="s">
        <v>489</v>
      </c>
      <c r="I12" s="8" t="s">
        <v>489</v>
      </c>
      <c r="J12" s="8" t="s">
        <v>490</v>
      </c>
      <c r="K12" s="8" t="s">
        <v>490</v>
      </c>
      <c r="L12" s="8" t="s">
        <v>490</v>
      </c>
      <c r="M12" s="8" t="s">
        <v>490</v>
      </c>
      <c r="N12" s="10" t="s">
        <v>451</v>
      </c>
      <c r="O12" s="10" t="s">
        <v>451</v>
      </c>
    </row>
    <row r="13" customFormat="false" ht="22.35" hidden="false" customHeight="false" outlineLevel="0" collapsed="false">
      <c r="A13" s="8" t="s">
        <v>89</v>
      </c>
      <c r="B13" s="8" t="s">
        <v>84</v>
      </c>
      <c r="C13" s="8" t="s">
        <v>90</v>
      </c>
      <c r="D13" s="8" t="s">
        <v>94</v>
      </c>
      <c r="E13" s="8" t="s">
        <v>48</v>
      </c>
      <c r="F13" s="8" t="s">
        <v>491</v>
      </c>
      <c r="G13" s="8" t="s">
        <v>492</v>
      </c>
      <c r="H13" s="8" t="s">
        <v>493</v>
      </c>
      <c r="I13" s="8" t="s">
        <v>494</v>
      </c>
      <c r="J13" s="8" t="s">
        <v>475</v>
      </c>
      <c r="K13" s="8" t="s">
        <v>475</v>
      </c>
      <c r="L13" s="8" t="s">
        <v>475</v>
      </c>
      <c r="M13" s="8" t="s">
        <v>475</v>
      </c>
      <c r="N13" s="12" t="s">
        <v>464</v>
      </c>
      <c r="O13" s="8" t="s">
        <v>479</v>
      </c>
    </row>
    <row r="14" customFormat="false" ht="32.8" hidden="false" customHeight="false" outlineLevel="0" collapsed="false">
      <c r="A14" s="8" t="s">
        <v>95</v>
      </c>
      <c r="B14" s="8" t="s">
        <v>84</v>
      </c>
      <c r="C14" s="8" t="s">
        <v>96</v>
      </c>
      <c r="D14" s="8" t="s">
        <v>100</v>
      </c>
      <c r="E14" s="8" t="s">
        <v>48</v>
      </c>
      <c r="F14" s="8" t="s">
        <v>495</v>
      </c>
      <c r="G14" s="8" t="s">
        <v>496</v>
      </c>
      <c r="H14" s="8" t="s">
        <v>497</v>
      </c>
      <c r="I14" s="8" t="s">
        <v>498</v>
      </c>
      <c r="J14" s="8" t="s">
        <v>499</v>
      </c>
      <c r="K14" s="8" t="s">
        <v>500</v>
      </c>
      <c r="L14" s="8" t="s">
        <v>500</v>
      </c>
      <c r="M14" s="8" t="s">
        <v>500</v>
      </c>
      <c r="N14" s="11" t="s">
        <v>459</v>
      </c>
      <c r="O14" s="11" t="s">
        <v>459</v>
      </c>
    </row>
    <row r="15" customFormat="false" ht="22.35" hidden="false" customHeight="false" outlineLevel="0" collapsed="false">
      <c r="A15" s="8" t="s">
        <v>101</v>
      </c>
      <c r="B15" s="8" t="s">
        <v>84</v>
      </c>
      <c r="C15" s="8" t="s">
        <v>102</v>
      </c>
      <c r="D15" s="8" t="s">
        <v>94</v>
      </c>
      <c r="E15" s="8" t="s">
        <v>48</v>
      </c>
      <c r="F15" s="8" t="s">
        <v>475</v>
      </c>
      <c r="G15" s="8" t="s">
        <v>475</v>
      </c>
      <c r="H15" s="8" t="s">
        <v>475</v>
      </c>
      <c r="I15" s="8" t="s">
        <v>475</v>
      </c>
      <c r="J15" s="8" t="s">
        <v>501</v>
      </c>
      <c r="K15" s="8" t="s">
        <v>502</v>
      </c>
      <c r="L15" s="8" t="s">
        <v>503</v>
      </c>
      <c r="M15" s="8" t="s">
        <v>504</v>
      </c>
      <c r="N15" s="8" t="s">
        <v>479</v>
      </c>
      <c r="O15" s="10" t="s">
        <v>451</v>
      </c>
    </row>
    <row r="16" customFormat="false" ht="15" hidden="false" customHeight="false" outlineLevel="0" collapsed="false">
      <c r="A16" s="7" t="s">
        <v>106</v>
      </c>
      <c r="B16" s="7" t="s">
        <v>107</v>
      </c>
      <c r="C16" s="7" t="s">
        <v>108</v>
      </c>
      <c r="D16" s="7" t="s">
        <v>94</v>
      </c>
      <c r="E16" s="7" t="s">
        <v>48</v>
      </c>
      <c r="F16" s="8" t="s">
        <v>505</v>
      </c>
      <c r="G16" s="8" t="s">
        <v>505</v>
      </c>
      <c r="H16" s="8" t="s">
        <v>505</v>
      </c>
      <c r="I16" s="8" t="s">
        <v>505</v>
      </c>
      <c r="J16" s="8" t="s">
        <v>506</v>
      </c>
      <c r="K16" s="8" t="s">
        <v>506</v>
      </c>
      <c r="L16" s="8" t="s">
        <v>507</v>
      </c>
      <c r="M16" s="8" t="s">
        <v>507</v>
      </c>
      <c r="N16" s="10" t="s">
        <v>451</v>
      </c>
      <c r="O16" s="10" t="s">
        <v>451</v>
      </c>
    </row>
    <row r="17" customFormat="false" ht="15" hidden="false" customHeight="false" outlineLevel="0" collapsed="false">
      <c r="A17" s="8" t="s">
        <v>111</v>
      </c>
      <c r="B17" s="8" t="s">
        <v>107</v>
      </c>
      <c r="C17" s="8" t="s">
        <v>112</v>
      </c>
      <c r="D17" s="8" t="s">
        <v>47</v>
      </c>
      <c r="E17" s="8" t="s">
        <v>48</v>
      </c>
      <c r="F17" s="8" t="s">
        <v>475</v>
      </c>
      <c r="G17" s="8" t="s">
        <v>475</v>
      </c>
      <c r="H17" s="8" t="s">
        <v>475</v>
      </c>
      <c r="I17" s="8" t="s">
        <v>475</v>
      </c>
      <c r="J17" s="8" t="s">
        <v>475</v>
      </c>
      <c r="K17" s="8" t="s">
        <v>475</v>
      </c>
      <c r="L17" s="8" t="s">
        <v>475</v>
      </c>
      <c r="M17" s="8" t="s">
        <v>475</v>
      </c>
      <c r="N17" s="8" t="s">
        <v>479</v>
      </c>
      <c r="O17" s="8" t="s">
        <v>479</v>
      </c>
    </row>
    <row r="18" customFormat="false" ht="22.35" hidden="false" customHeight="false" outlineLevel="0" collapsed="false">
      <c r="A18" s="8" t="s">
        <v>115</v>
      </c>
      <c r="B18" s="8" t="s">
        <v>107</v>
      </c>
      <c r="C18" s="8" t="s">
        <v>116</v>
      </c>
      <c r="D18" s="8" t="s">
        <v>100</v>
      </c>
      <c r="E18" s="8" t="s">
        <v>119</v>
      </c>
      <c r="F18" s="8" t="s">
        <v>508</v>
      </c>
      <c r="G18" s="8" t="s">
        <v>509</v>
      </c>
      <c r="H18" s="8" t="s">
        <v>510</v>
      </c>
      <c r="I18" s="8" t="s">
        <v>510</v>
      </c>
      <c r="J18" s="8" t="s">
        <v>486</v>
      </c>
      <c r="K18" s="8" t="s">
        <v>486</v>
      </c>
      <c r="L18" s="8" t="s">
        <v>511</v>
      </c>
      <c r="M18" s="8" t="s">
        <v>511</v>
      </c>
      <c r="N18" s="11" t="s">
        <v>459</v>
      </c>
      <c r="O18" s="12" t="s">
        <v>464</v>
      </c>
    </row>
    <row r="19" customFormat="false" ht="22.35" hidden="false" customHeight="false" outlineLevel="0" collapsed="false">
      <c r="A19" s="8" t="s">
        <v>120</v>
      </c>
      <c r="B19" s="8" t="s">
        <v>107</v>
      </c>
      <c r="C19" s="8" t="s">
        <v>121</v>
      </c>
      <c r="D19" s="8" t="s">
        <v>100</v>
      </c>
      <c r="E19" s="8" t="s">
        <v>119</v>
      </c>
      <c r="F19" s="8" t="s">
        <v>512</v>
      </c>
      <c r="G19" s="8" t="s">
        <v>512</v>
      </c>
      <c r="H19" s="8" t="s">
        <v>512</v>
      </c>
      <c r="I19" s="8" t="s">
        <v>512</v>
      </c>
      <c r="J19" s="8" t="s">
        <v>48</v>
      </c>
      <c r="K19" s="8" t="s">
        <v>48</v>
      </c>
      <c r="L19" s="8" t="s">
        <v>513</v>
      </c>
      <c r="M19" s="8" t="s">
        <v>513</v>
      </c>
      <c r="N19" s="11" t="s">
        <v>459</v>
      </c>
      <c r="O19" s="11" t="s">
        <v>459</v>
      </c>
    </row>
    <row r="20" customFormat="false" ht="32.8" hidden="false" customHeight="false" outlineLevel="0" collapsed="false">
      <c r="A20" s="8" t="s">
        <v>124</v>
      </c>
      <c r="B20" s="8" t="s">
        <v>107</v>
      </c>
      <c r="C20" s="8" t="s">
        <v>125</v>
      </c>
      <c r="D20" s="8" t="s">
        <v>100</v>
      </c>
      <c r="E20" s="8" t="s">
        <v>119</v>
      </c>
      <c r="F20" s="8" t="s">
        <v>514</v>
      </c>
      <c r="G20" s="8" t="s">
        <v>496</v>
      </c>
      <c r="H20" s="8" t="s">
        <v>515</v>
      </c>
      <c r="I20" s="8" t="s">
        <v>516</v>
      </c>
      <c r="J20" s="8" t="s">
        <v>48</v>
      </c>
      <c r="K20" s="8" t="s">
        <v>48</v>
      </c>
      <c r="L20" s="8" t="s">
        <v>517</v>
      </c>
      <c r="M20" s="8" t="s">
        <v>517</v>
      </c>
      <c r="N20" s="11" t="s">
        <v>459</v>
      </c>
      <c r="O20" s="8" t="s">
        <v>479</v>
      </c>
    </row>
    <row r="21" customFormat="false" ht="32.8" hidden="false" customHeight="false" outlineLevel="0" collapsed="false">
      <c r="A21" s="8" t="s">
        <v>128</v>
      </c>
      <c r="B21" s="8" t="s">
        <v>107</v>
      </c>
      <c r="C21" s="8" t="s">
        <v>129</v>
      </c>
      <c r="D21" s="8" t="s">
        <v>100</v>
      </c>
      <c r="E21" s="8" t="s">
        <v>119</v>
      </c>
      <c r="F21" s="8" t="s">
        <v>517</v>
      </c>
      <c r="G21" s="8" t="s">
        <v>517</v>
      </c>
      <c r="H21" s="8" t="s">
        <v>517</v>
      </c>
      <c r="I21" s="8" t="s">
        <v>517</v>
      </c>
      <c r="J21" s="8" t="s">
        <v>48</v>
      </c>
      <c r="K21" s="8" t="s">
        <v>48</v>
      </c>
      <c r="L21" s="8" t="s">
        <v>518</v>
      </c>
      <c r="M21" s="8" t="s">
        <v>519</v>
      </c>
      <c r="N21" s="8" t="s">
        <v>479</v>
      </c>
      <c r="O21" s="12" t="s">
        <v>464</v>
      </c>
    </row>
    <row r="22" customFormat="false" ht="22.35" hidden="false" customHeight="false" outlineLevel="0" collapsed="false">
      <c r="A22" s="8" t="s">
        <v>133</v>
      </c>
      <c r="B22" s="8" t="s">
        <v>107</v>
      </c>
      <c r="C22" s="8" t="s">
        <v>134</v>
      </c>
      <c r="D22" s="8" t="s">
        <v>100</v>
      </c>
      <c r="E22" s="8" t="s">
        <v>119</v>
      </c>
      <c r="F22" s="8" t="s">
        <v>520</v>
      </c>
      <c r="G22" s="8" t="s">
        <v>496</v>
      </c>
      <c r="H22" s="8" t="s">
        <v>496</v>
      </c>
      <c r="I22" s="8" t="s">
        <v>496</v>
      </c>
      <c r="J22" s="8" t="s">
        <v>521</v>
      </c>
      <c r="K22" s="8" t="s">
        <v>521</v>
      </c>
      <c r="L22" s="8" t="s">
        <v>521</v>
      </c>
      <c r="M22" s="8" t="s">
        <v>521</v>
      </c>
      <c r="N22" s="11" t="s">
        <v>459</v>
      </c>
      <c r="O22" s="11" t="s">
        <v>459</v>
      </c>
    </row>
    <row r="23" customFormat="false" ht="22.35" hidden="false" customHeight="false" outlineLevel="0" collapsed="false">
      <c r="A23" s="7" t="s">
        <v>138</v>
      </c>
      <c r="B23" s="7" t="s">
        <v>139</v>
      </c>
      <c r="C23" s="7" t="s">
        <v>140</v>
      </c>
      <c r="D23" s="7" t="s">
        <v>94</v>
      </c>
      <c r="E23" s="7" t="s">
        <v>48</v>
      </c>
      <c r="F23" s="8" t="s">
        <v>522</v>
      </c>
      <c r="G23" s="8" t="s">
        <v>522</v>
      </c>
      <c r="H23" s="8" t="s">
        <v>522</v>
      </c>
      <c r="I23" s="8" t="s">
        <v>523</v>
      </c>
      <c r="J23" s="8" t="s">
        <v>524</v>
      </c>
      <c r="K23" s="8" t="s">
        <v>525</v>
      </c>
      <c r="L23" s="8" t="s">
        <v>526</v>
      </c>
      <c r="M23" s="8" t="s">
        <v>527</v>
      </c>
      <c r="N23" s="8" t="s">
        <v>472</v>
      </c>
      <c r="O23" s="8" t="s">
        <v>472</v>
      </c>
    </row>
    <row r="24" customFormat="false" ht="22.35" hidden="false" customHeight="false" outlineLevel="0" collapsed="false">
      <c r="A24" s="8" t="s">
        <v>143</v>
      </c>
      <c r="B24" s="8" t="s">
        <v>139</v>
      </c>
      <c r="C24" s="8" t="s">
        <v>144</v>
      </c>
      <c r="D24" s="8" t="s">
        <v>94</v>
      </c>
      <c r="E24" s="8" t="s">
        <v>147</v>
      </c>
      <c r="F24" s="8" t="s">
        <v>528</v>
      </c>
      <c r="G24" s="8" t="s">
        <v>528</v>
      </c>
      <c r="H24" s="8" t="s">
        <v>528</v>
      </c>
      <c r="I24" s="8" t="s">
        <v>529</v>
      </c>
      <c r="J24" s="8" t="s">
        <v>530</v>
      </c>
      <c r="K24" s="8" t="s">
        <v>530</v>
      </c>
      <c r="L24" s="8" t="s">
        <v>531</v>
      </c>
      <c r="M24" s="8" t="s">
        <v>531</v>
      </c>
      <c r="N24" s="12" t="s">
        <v>464</v>
      </c>
      <c r="O24" s="12" t="s">
        <v>464</v>
      </c>
    </row>
    <row r="25" customFormat="false" ht="22.35" hidden="false" customHeight="false" outlineLevel="0" collapsed="false">
      <c r="A25" s="8" t="s">
        <v>148</v>
      </c>
      <c r="B25" s="8" t="s">
        <v>139</v>
      </c>
      <c r="C25" s="8" t="s">
        <v>149</v>
      </c>
      <c r="D25" s="8" t="s">
        <v>94</v>
      </c>
      <c r="E25" s="8" t="s">
        <v>147</v>
      </c>
      <c r="F25" s="8" t="s">
        <v>532</v>
      </c>
      <c r="G25" s="8" t="s">
        <v>532</v>
      </c>
      <c r="H25" s="8" t="s">
        <v>532</v>
      </c>
      <c r="I25" s="8" t="s">
        <v>533</v>
      </c>
      <c r="J25" s="8" t="s">
        <v>534</v>
      </c>
      <c r="K25" s="8" t="s">
        <v>534</v>
      </c>
      <c r="L25" s="8" t="s">
        <v>535</v>
      </c>
      <c r="M25" s="8" t="s">
        <v>535</v>
      </c>
      <c r="N25" s="12" t="s">
        <v>464</v>
      </c>
      <c r="O25" s="12" t="s">
        <v>464</v>
      </c>
    </row>
    <row r="26" customFormat="false" ht="22.35" hidden="false" customHeight="false" outlineLevel="0" collapsed="false">
      <c r="A26" s="8" t="s">
        <v>153</v>
      </c>
      <c r="B26" s="8" t="s">
        <v>139</v>
      </c>
      <c r="C26" s="8" t="s">
        <v>154</v>
      </c>
      <c r="D26" s="8" t="s">
        <v>72</v>
      </c>
      <c r="E26" s="8" t="s">
        <v>119</v>
      </c>
      <c r="F26" s="8" t="s">
        <v>536</v>
      </c>
      <c r="G26" s="8" t="s">
        <v>536</v>
      </c>
      <c r="H26" s="8" t="s">
        <v>536</v>
      </c>
      <c r="I26" s="8" t="s">
        <v>536</v>
      </c>
      <c r="J26" s="8" t="s">
        <v>537</v>
      </c>
      <c r="K26" s="8" t="s">
        <v>537</v>
      </c>
      <c r="L26" s="8" t="s">
        <v>538</v>
      </c>
      <c r="M26" s="8" t="s">
        <v>538</v>
      </c>
      <c r="N26" s="8" t="s">
        <v>479</v>
      </c>
      <c r="O26" s="11" t="s">
        <v>459</v>
      </c>
    </row>
    <row r="27" customFormat="false" ht="22.35" hidden="false" customHeight="false" outlineLevel="0" collapsed="false">
      <c r="A27" s="8" t="s">
        <v>157</v>
      </c>
      <c r="B27" s="8" t="s">
        <v>139</v>
      </c>
      <c r="C27" s="8" t="s">
        <v>158</v>
      </c>
      <c r="D27" s="8" t="s">
        <v>94</v>
      </c>
      <c r="E27" s="8" t="s">
        <v>48</v>
      </c>
      <c r="F27" s="8" t="s">
        <v>475</v>
      </c>
      <c r="G27" s="8" t="s">
        <v>475</v>
      </c>
      <c r="H27" s="8" t="s">
        <v>475</v>
      </c>
      <c r="I27" s="8" t="s">
        <v>475</v>
      </c>
      <c r="J27" s="8" t="s">
        <v>539</v>
      </c>
      <c r="K27" s="8" t="s">
        <v>539</v>
      </c>
      <c r="L27" s="8" t="s">
        <v>539</v>
      </c>
      <c r="M27" s="8" t="s">
        <v>539</v>
      </c>
      <c r="N27" s="8" t="s">
        <v>479</v>
      </c>
      <c r="O27" s="10" t="s">
        <v>451</v>
      </c>
    </row>
    <row r="28" customFormat="false" ht="22.35" hidden="false" customHeight="false" outlineLevel="0" collapsed="false">
      <c r="A28" s="8" t="s">
        <v>161</v>
      </c>
      <c r="B28" s="8" t="s">
        <v>139</v>
      </c>
      <c r="C28" s="8" t="s">
        <v>162</v>
      </c>
      <c r="D28" s="8" t="s">
        <v>100</v>
      </c>
      <c r="E28" s="8" t="s">
        <v>119</v>
      </c>
      <c r="F28" s="8" t="s">
        <v>540</v>
      </c>
      <c r="G28" s="8" t="s">
        <v>540</v>
      </c>
      <c r="H28" s="8" t="s">
        <v>540</v>
      </c>
      <c r="I28" s="8" t="s">
        <v>540</v>
      </c>
      <c r="J28" s="8" t="s">
        <v>541</v>
      </c>
      <c r="K28" s="8" t="s">
        <v>541</v>
      </c>
      <c r="L28" s="8" t="s">
        <v>541</v>
      </c>
      <c r="M28" s="8" t="s">
        <v>541</v>
      </c>
      <c r="N28" s="10" t="s">
        <v>451</v>
      </c>
      <c r="O28" s="10" t="s">
        <v>451</v>
      </c>
    </row>
    <row r="29" customFormat="false" ht="22.35" hidden="false" customHeight="false" outlineLevel="0" collapsed="false">
      <c r="A29" s="8" t="s">
        <v>165</v>
      </c>
      <c r="B29" s="8" t="s">
        <v>139</v>
      </c>
      <c r="C29" s="8" t="s">
        <v>166</v>
      </c>
      <c r="D29" s="8" t="s">
        <v>100</v>
      </c>
      <c r="E29" s="8" t="s">
        <v>119</v>
      </c>
      <c r="F29" s="8" t="s">
        <v>542</v>
      </c>
      <c r="G29" s="8" t="s">
        <v>542</v>
      </c>
      <c r="H29" s="8" t="s">
        <v>542</v>
      </c>
      <c r="I29" s="8" t="s">
        <v>543</v>
      </c>
      <c r="J29" s="8" t="s">
        <v>544</v>
      </c>
      <c r="K29" s="8" t="s">
        <v>544</v>
      </c>
      <c r="L29" s="8" t="s">
        <v>544</v>
      </c>
      <c r="M29" s="8" t="s">
        <v>544</v>
      </c>
      <c r="N29" s="11" t="s">
        <v>459</v>
      </c>
      <c r="O29" s="8" t="s">
        <v>479</v>
      </c>
    </row>
    <row r="30" customFormat="false" ht="22.35" hidden="false" customHeight="false" outlineLevel="0" collapsed="false">
      <c r="A30" s="8" t="s">
        <v>169</v>
      </c>
      <c r="B30" s="8" t="s">
        <v>139</v>
      </c>
      <c r="C30" s="8" t="s">
        <v>170</v>
      </c>
      <c r="D30" s="8" t="s">
        <v>100</v>
      </c>
      <c r="E30" s="8" t="s">
        <v>119</v>
      </c>
      <c r="F30" s="8" t="s">
        <v>545</v>
      </c>
      <c r="G30" s="8" t="s">
        <v>545</v>
      </c>
      <c r="H30" s="8" t="s">
        <v>546</v>
      </c>
      <c r="I30" s="8" t="s">
        <v>547</v>
      </c>
      <c r="J30" s="8" t="s">
        <v>548</v>
      </c>
      <c r="K30" s="8" t="s">
        <v>548</v>
      </c>
      <c r="L30" s="8" t="s">
        <v>548</v>
      </c>
      <c r="M30" s="8" t="s">
        <v>548</v>
      </c>
      <c r="N30" s="12" t="s">
        <v>464</v>
      </c>
      <c r="O30" s="10" t="s">
        <v>451</v>
      </c>
    </row>
    <row r="31" customFormat="false" ht="22.35" hidden="false" customHeight="false" outlineLevel="0" collapsed="false">
      <c r="A31" s="8" t="s">
        <v>173</v>
      </c>
      <c r="B31" s="8" t="s">
        <v>139</v>
      </c>
      <c r="C31" s="8" t="s">
        <v>174</v>
      </c>
      <c r="D31" s="8" t="s">
        <v>100</v>
      </c>
      <c r="E31" s="8" t="s">
        <v>119</v>
      </c>
      <c r="F31" s="8" t="s">
        <v>549</v>
      </c>
      <c r="G31" s="8" t="s">
        <v>549</v>
      </c>
      <c r="H31" s="8" t="s">
        <v>549</v>
      </c>
      <c r="I31" s="8" t="s">
        <v>549</v>
      </c>
      <c r="J31" s="8" t="s">
        <v>549</v>
      </c>
      <c r="K31" s="8" t="s">
        <v>549</v>
      </c>
      <c r="L31" s="8" t="s">
        <v>549</v>
      </c>
      <c r="M31" s="8" t="s">
        <v>549</v>
      </c>
      <c r="N31" s="8" t="s">
        <v>479</v>
      </c>
      <c r="O31" s="8" t="s">
        <v>479</v>
      </c>
    </row>
    <row r="32" customFormat="false" ht="22.35" hidden="false" customHeight="false" outlineLevel="0" collapsed="false">
      <c r="A32" s="8" t="s">
        <v>177</v>
      </c>
      <c r="B32" s="8" t="s">
        <v>139</v>
      </c>
      <c r="C32" s="8" t="s">
        <v>178</v>
      </c>
      <c r="D32" s="8" t="s">
        <v>100</v>
      </c>
      <c r="E32" s="8" t="s">
        <v>119</v>
      </c>
      <c r="F32" s="8" t="s">
        <v>549</v>
      </c>
      <c r="G32" s="8" t="s">
        <v>549</v>
      </c>
      <c r="H32" s="8" t="s">
        <v>549</v>
      </c>
      <c r="I32" s="8" t="s">
        <v>549</v>
      </c>
      <c r="J32" s="8" t="s">
        <v>549</v>
      </c>
      <c r="K32" s="8" t="s">
        <v>549</v>
      </c>
      <c r="L32" s="8" t="s">
        <v>549</v>
      </c>
      <c r="M32" s="8" t="s">
        <v>549</v>
      </c>
      <c r="N32" s="8" t="s">
        <v>479</v>
      </c>
      <c r="O32" s="8" t="s">
        <v>479</v>
      </c>
    </row>
    <row r="33" customFormat="false" ht="22.35" hidden="false" customHeight="false" outlineLevel="0" collapsed="false">
      <c r="A33" s="8" t="s">
        <v>181</v>
      </c>
      <c r="B33" s="8" t="s">
        <v>139</v>
      </c>
      <c r="C33" s="8" t="s">
        <v>182</v>
      </c>
      <c r="D33" s="8" t="s">
        <v>94</v>
      </c>
      <c r="E33" s="8" t="s">
        <v>119</v>
      </c>
      <c r="F33" s="8" t="s">
        <v>475</v>
      </c>
      <c r="G33" s="8" t="s">
        <v>475</v>
      </c>
      <c r="H33" s="8" t="s">
        <v>475</v>
      </c>
      <c r="I33" s="8" t="s">
        <v>475</v>
      </c>
      <c r="J33" s="8" t="s">
        <v>550</v>
      </c>
      <c r="K33" s="8" t="s">
        <v>550</v>
      </c>
      <c r="L33" s="8" t="s">
        <v>550</v>
      </c>
      <c r="M33" s="8" t="s">
        <v>550</v>
      </c>
      <c r="N33" s="8" t="s">
        <v>479</v>
      </c>
      <c r="O33" s="11" t="s">
        <v>459</v>
      </c>
    </row>
    <row r="34" customFormat="false" ht="22.35" hidden="false" customHeight="false" outlineLevel="0" collapsed="false">
      <c r="A34" s="8" t="s">
        <v>186</v>
      </c>
      <c r="B34" s="8" t="s">
        <v>139</v>
      </c>
      <c r="C34" s="8" t="s">
        <v>187</v>
      </c>
      <c r="D34" s="8" t="s">
        <v>94</v>
      </c>
      <c r="E34" s="8" t="s">
        <v>48</v>
      </c>
      <c r="F34" s="8" t="s">
        <v>475</v>
      </c>
      <c r="G34" s="8" t="s">
        <v>475</v>
      </c>
      <c r="H34" s="8" t="s">
        <v>475</v>
      </c>
      <c r="I34" s="8" t="s">
        <v>475</v>
      </c>
      <c r="J34" s="8" t="s">
        <v>551</v>
      </c>
      <c r="K34" s="8" t="s">
        <v>551</v>
      </c>
      <c r="L34" s="8" t="s">
        <v>551</v>
      </c>
      <c r="M34" s="8" t="s">
        <v>551</v>
      </c>
      <c r="N34" s="8" t="s">
        <v>479</v>
      </c>
      <c r="O34" s="10" t="s">
        <v>451</v>
      </c>
    </row>
    <row r="35" customFormat="false" ht="22.35" hidden="false" customHeight="false" outlineLevel="0" collapsed="false">
      <c r="A35" s="8" t="s">
        <v>190</v>
      </c>
      <c r="B35" s="8" t="s">
        <v>139</v>
      </c>
      <c r="C35" s="8" t="s">
        <v>191</v>
      </c>
      <c r="D35" s="8" t="s">
        <v>94</v>
      </c>
      <c r="E35" s="8" t="s">
        <v>119</v>
      </c>
      <c r="F35" s="8" t="s">
        <v>549</v>
      </c>
      <c r="G35" s="8" t="s">
        <v>549</v>
      </c>
      <c r="H35" s="8" t="s">
        <v>549</v>
      </c>
      <c r="I35" s="8" t="s">
        <v>549</v>
      </c>
      <c r="J35" s="8" t="s">
        <v>549</v>
      </c>
      <c r="K35" s="8" t="s">
        <v>549</v>
      </c>
      <c r="L35" s="8" t="s">
        <v>549</v>
      </c>
      <c r="M35" s="8" t="s">
        <v>549</v>
      </c>
      <c r="N35" s="8" t="s">
        <v>479</v>
      </c>
      <c r="O35" s="8" t="s">
        <v>479</v>
      </c>
    </row>
    <row r="36" customFormat="false" ht="22.35" hidden="false" customHeight="false" outlineLevel="0" collapsed="false">
      <c r="A36" s="7" t="s">
        <v>195</v>
      </c>
      <c r="B36" s="7" t="s">
        <v>196</v>
      </c>
      <c r="C36" s="7" t="s">
        <v>197</v>
      </c>
      <c r="D36" s="7" t="s">
        <v>72</v>
      </c>
      <c r="E36" s="7" t="s">
        <v>48</v>
      </c>
      <c r="F36" s="8" t="s">
        <v>552</v>
      </c>
      <c r="G36" s="8" t="s">
        <v>552</v>
      </c>
      <c r="H36" s="8" t="s">
        <v>553</v>
      </c>
      <c r="I36" s="8" t="s">
        <v>553</v>
      </c>
      <c r="J36" s="8" t="s">
        <v>554</v>
      </c>
      <c r="K36" s="8" t="s">
        <v>555</v>
      </c>
      <c r="L36" s="8" t="s">
        <v>556</v>
      </c>
      <c r="M36" s="8" t="s">
        <v>557</v>
      </c>
      <c r="N36" s="12" t="s">
        <v>464</v>
      </c>
      <c r="O36" s="12" t="s">
        <v>464</v>
      </c>
    </row>
    <row r="37" customFormat="false" ht="15" hidden="false" customHeight="false" outlineLevel="0" collapsed="false">
      <c r="A37" s="8" t="s">
        <v>200</v>
      </c>
      <c r="B37" s="8" t="s">
        <v>196</v>
      </c>
      <c r="C37" s="8" t="s">
        <v>201</v>
      </c>
      <c r="D37" s="8" t="s">
        <v>94</v>
      </c>
      <c r="E37" s="8" t="s">
        <v>204</v>
      </c>
      <c r="F37" s="8" t="s">
        <v>558</v>
      </c>
      <c r="G37" s="8" t="s">
        <v>558</v>
      </c>
      <c r="H37" s="8" t="s">
        <v>558</v>
      </c>
      <c r="I37" s="8" t="s">
        <v>558</v>
      </c>
      <c r="J37" s="8" t="s">
        <v>559</v>
      </c>
      <c r="K37" s="8" t="s">
        <v>559</v>
      </c>
      <c r="L37" s="8" t="s">
        <v>560</v>
      </c>
      <c r="M37" s="8" t="s">
        <v>561</v>
      </c>
      <c r="N37" s="10" t="s">
        <v>451</v>
      </c>
      <c r="O37" s="12" t="s">
        <v>464</v>
      </c>
    </row>
    <row r="38" customFormat="false" ht="22.35" hidden="false" customHeight="false" outlineLevel="0" collapsed="false">
      <c r="A38" s="8" t="s">
        <v>205</v>
      </c>
      <c r="B38" s="8" t="s">
        <v>196</v>
      </c>
      <c r="C38" s="8" t="s">
        <v>206</v>
      </c>
      <c r="D38" s="8" t="s">
        <v>94</v>
      </c>
      <c r="E38" s="8" t="s">
        <v>204</v>
      </c>
      <c r="F38" s="8" t="s">
        <v>562</v>
      </c>
      <c r="G38" s="8" t="s">
        <v>562</v>
      </c>
      <c r="H38" s="8" t="s">
        <v>562</v>
      </c>
      <c r="I38" s="8" t="s">
        <v>562</v>
      </c>
      <c r="J38" s="8" t="s">
        <v>563</v>
      </c>
      <c r="K38" s="8" t="s">
        <v>564</v>
      </c>
      <c r="L38" s="8" t="s">
        <v>565</v>
      </c>
      <c r="M38" s="8" t="s">
        <v>566</v>
      </c>
      <c r="N38" s="10" t="s">
        <v>451</v>
      </c>
      <c r="O38" s="12" t="s">
        <v>464</v>
      </c>
    </row>
    <row r="39" customFormat="false" ht="22.35" hidden="false" customHeight="false" outlineLevel="0" collapsed="false">
      <c r="A39" s="8" t="s">
        <v>209</v>
      </c>
      <c r="B39" s="8" t="s">
        <v>196</v>
      </c>
      <c r="C39" s="8" t="s">
        <v>210</v>
      </c>
      <c r="D39" s="8" t="s">
        <v>94</v>
      </c>
      <c r="E39" s="8" t="s">
        <v>204</v>
      </c>
      <c r="F39" s="8" t="s">
        <v>567</v>
      </c>
      <c r="G39" s="8" t="s">
        <v>567</v>
      </c>
      <c r="H39" s="8" t="s">
        <v>568</v>
      </c>
      <c r="I39" s="8" t="s">
        <v>568</v>
      </c>
      <c r="J39" s="8" t="s">
        <v>569</v>
      </c>
      <c r="K39" s="8" t="s">
        <v>569</v>
      </c>
      <c r="L39" s="8" t="s">
        <v>570</v>
      </c>
      <c r="M39" s="8" t="s">
        <v>570</v>
      </c>
      <c r="N39" s="8" t="s">
        <v>472</v>
      </c>
      <c r="O39" s="11" t="s">
        <v>459</v>
      </c>
    </row>
    <row r="40" customFormat="false" ht="22.35" hidden="false" customHeight="false" outlineLevel="0" collapsed="false">
      <c r="A40" s="8" t="s">
        <v>212</v>
      </c>
      <c r="B40" s="8" t="s">
        <v>196</v>
      </c>
      <c r="C40" s="8" t="s">
        <v>213</v>
      </c>
      <c r="D40" s="8" t="s">
        <v>100</v>
      </c>
      <c r="E40" s="8" t="s">
        <v>204</v>
      </c>
      <c r="F40" s="8" t="s">
        <v>571</v>
      </c>
      <c r="G40" s="8" t="s">
        <v>571</v>
      </c>
      <c r="H40" s="8" t="s">
        <v>571</v>
      </c>
      <c r="I40" s="8" t="s">
        <v>571</v>
      </c>
      <c r="J40" s="8" t="s">
        <v>572</v>
      </c>
      <c r="K40" s="8" t="s">
        <v>572</v>
      </c>
      <c r="L40" s="8" t="s">
        <v>573</v>
      </c>
      <c r="M40" s="8" t="s">
        <v>574</v>
      </c>
      <c r="N40" s="8" t="s">
        <v>479</v>
      </c>
      <c r="O40" s="11" t="s">
        <v>459</v>
      </c>
    </row>
    <row r="41" customFormat="false" ht="32.8" hidden="false" customHeight="false" outlineLevel="0" collapsed="false">
      <c r="A41" s="8" t="s">
        <v>216</v>
      </c>
      <c r="B41" s="8" t="s">
        <v>196</v>
      </c>
      <c r="C41" s="8" t="s">
        <v>217</v>
      </c>
      <c r="D41" s="8" t="s">
        <v>94</v>
      </c>
      <c r="E41" s="8" t="s">
        <v>119</v>
      </c>
      <c r="F41" s="8" t="s">
        <v>575</v>
      </c>
      <c r="G41" s="8" t="s">
        <v>576</v>
      </c>
      <c r="H41" s="8" t="s">
        <v>577</v>
      </c>
      <c r="I41" s="8" t="s">
        <v>578</v>
      </c>
      <c r="J41" s="8" t="s">
        <v>579</v>
      </c>
      <c r="K41" s="8" t="s">
        <v>579</v>
      </c>
      <c r="L41" s="8" t="s">
        <v>579</v>
      </c>
      <c r="M41" s="8" t="s">
        <v>579</v>
      </c>
      <c r="N41" s="12" t="s">
        <v>464</v>
      </c>
      <c r="O41" s="8" t="s">
        <v>472</v>
      </c>
    </row>
    <row r="42" customFormat="false" ht="22.35" hidden="false" customHeight="false" outlineLevel="0" collapsed="false">
      <c r="A42" s="8" t="s">
        <v>221</v>
      </c>
      <c r="B42" s="8" t="s">
        <v>196</v>
      </c>
      <c r="C42" s="8" t="s">
        <v>222</v>
      </c>
      <c r="D42" s="8" t="s">
        <v>94</v>
      </c>
      <c r="E42" s="8" t="s">
        <v>119</v>
      </c>
      <c r="F42" s="8" t="s">
        <v>580</v>
      </c>
      <c r="G42" s="8" t="s">
        <v>580</v>
      </c>
      <c r="H42" s="8" t="s">
        <v>581</v>
      </c>
      <c r="I42" s="8" t="s">
        <v>582</v>
      </c>
      <c r="J42" s="8" t="s">
        <v>583</v>
      </c>
      <c r="K42" s="8" t="s">
        <v>583</v>
      </c>
      <c r="L42" s="8" t="s">
        <v>583</v>
      </c>
      <c r="M42" s="8" t="s">
        <v>583</v>
      </c>
      <c r="N42" s="12" t="s">
        <v>464</v>
      </c>
      <c r="O42" s="8" t="s">
        <v>472</v>
      </c>
    </row>
    <row r="43" customFormat="false" ht="22.35" hidden="false" customHeight="false" outlineLevel="0" collapsed="false">
      <c r="A43" s="8" t="s">
        <v>225</v>
      </c>
      <c r="B43" s="8" t="s">
        <v>196</v>
      </c>
      <c r="C43" s="8" t="s">
        <v>226</v>
      </c>
      <c r="D43" s="8" t="s">
        <v>94</v>
      </c>
      <c r="E43" s="8" t="s">
        <v>204</v>
      </c>
      <c r="F43" s="8" t="s">
        <v>584</v>
      </c>
      <c r="G43" s="8" t="s">
        <v>584</v>
      </c>
      <c r="H43" s="8" t="s">
        <v>584</v>
      </c>
      <c r="I43" s="8" t="s">
        <v>584</v>
      </c>
      <c r="J43" s="8" t="s">
        <v>585</v>
      </c>
      <c r="K43" s="8" t="s">
        <v>586</v>
      </c>
      <c r="L43" s="8" t="s">
        <v>587</v>
      </c>
      <c r="M43" s="8" t="s">
        <v>585</v>
      </c>
      <c r="N43" s="8" t="s">
        <v>472</v>
      </c>
      <c r="O43" s="12" t="s">
        <v>464</v>
      </c>
    </row>
    <row r="44" customFormat="false" ht="22.35" hidden="false" customHeight="false" outlineLevel="0" collapsed="false">
      <c r="A44" s="8" t="s">
        <v>230</v>
      </c>
      <c r="B44" s="8" t="s">
        <v>196</v>
      </c>
      <c r="C44" s="8" t="s">
        <v>231</v>
      </c>
      <c r="D44" s="8" t="s">
        <v>94</v>
      </c>
      <c r="E44" s="8" t="s">
        <v>119</v>
      </c>
      <c r="F44" s="8" t="s">
        <v>475</v>
      </c>
      <c r="G44" s="8" t="s">
        <v>475</v>
      </c>
      <c r="H44" s="8" t="s">
        <v>475</v>
      </c>
      <c r="I44" s="8" t="s">
        <v>475</v>
      </c>
      <c r="J44" s="8" t="s">
        <v>588</v>
      </c>
      <c r="K44" s="8" t="s">
        <v>589</v>
      </c>
      <c r="L44" s="8" t="s">
        <v>588</v>
      </c>
      <c r="M44" s="8" t="s">
        <v>588</v>
      </c>
      <c r="N44" s="8" t="s">
        <v>479</v>
      </c>
      <c r="O44" s="11" t="s">
        <v>459</v>
      </c>
    </row>
    <row r="45" customFormat="false" ht="15" hidden="false" customHeight="false" outlineLevel="0" collapsed="false">
      <c r="A45" s="8" t="s">
        <v>234</v>
      </c>
      <c r="B45" s="8" t="s">
        <v>196</v>
      </c>
      <c r="C45" s="8" t="s">
        <v>235</v>
      </c>
      <c r="D45" s="8" t="s">
        <v>72</v>
      </c>
      <c r="E45" s="8" t="s">
        <v>119</v>
      </c>
      <c r="F45" s="8" t="s">
        <v>475</v>
      </c>
      <c r="G45" s="8" t="s">
        <v>475</v>
      </c>
      <c r="H45" s="8" t="s">
        <v>475</v>
      </c>
      <c r="I45" s="8" t="s">
        <v>475</v>
      </c>
      <c r="J45" s="8" t="s">
        <v>590</v>
      </c>
      <c r="K45" s="8" t="s">
        <v>590</v>
      </c>
      <c r="L45" s="8" t="s">
        <v>590</v>
      </c>
      <c r="M45" s="8" t="s">
        <v>590</v>
      </c>
      <c r="N45" s="8" t="s">
        <v>479</v>
      </c>
      <c r="O45" s="10" t="s">
        <v>451</v>
      </c>
    </row>
    <row r="46" customFormat="false" ht="22.35" hidden="false" customHeight="false" outlineLevel="0" collapsed="false">
      <c r="A46" s="8" t="s">
        <v>238</v>
      </c>
      <c r="B46" s="8" t="s">
        <v>196</v>
      </c>
      <c r="C46" s="8" t="s">
        <v>239</v>
      </c>
      <c r="D46" s="8" t="s">
        <v>100</v>
      </c>
      <c r="E46" s="8" t="s">
        <v>119</v>
      </c>
      <c r="F46" s="8" t="s">
        <v>549</v>
      </c>
      <c r="G46" s="8" t="s">
        <v>549</v>
      </c>
      <c r="H46" s="8" t="s">
        <v>549</v>
      </c>
      <c r="I46" s="8" t="s">
        <v>549</v>
      </c>
      <c r="J46" s="8" t="s">
        <v>549</v>
      </c>
      <c r="K46" s="8" t="s">
        <v>549</v>
      </c>
      <c r="L46" s="8" t="s">
        <v>549</v>
      </c>
      <c r="M46" s="8" t="s">
        <v>549</v>
      </c>
      <c r="N46" s="8" t="s">
        <v>479</v>
      </c>
      <c r="O46" s="8" t="s">
        <v>479</v>
      </c>
    </row>
    <row r="47" customFormat="false" ht="22.35" hidden="false" customHeight="false" outlineLevel="0" collapsed="false">
      <c r="A47" s="8" t="s">
        <v>242</v>
      </c>
      <c r="B47" s="8" t="s">
        <v>196</v>
      </c>
      <c r="C47" s="8" t="s">
        <v>243</v>
      </c>
      <c r="D47" s="8" t="s">
        <v>94</v>
      </c>
      <c r="E47" s="8" t="s">
        <v>204</v>
      </c>
      <c r="F47" s="8" t="s">
        <v>475</v>
      </c>
      <c r="G47" s="8" t="s">
        <v>475</v>
      </c>
      <c r="H47" s="8" t="s">
        <v>475</v>
      </c>
      <c r="I47" s="8" t="s">
        <v>475</v>
      </c>
      <c r="J47" s="8" t="s">
        <v>591</v>
      </c>
      <c r="K47" s="8" t="s">
        <v>591</v>
      </c>
      <c r="L47" s="8" t="s">
        <v>591</v>
      </c>
      <c r="M47" s="8" t="s">
        <v>591</v>
      </c>
      <c r="N47" s="8" t="s">
        <v>479</v>
      </c>
      <c r="O47" s="10" t="s">
        <v>451</v>
      </c>
    </row>
    <row r="48" customFormat="false" ht="22.35" hidden="false" customHeight="false" outlineLevel="0" collapsed="false">
      <c r="A48" s="8" t="s">
        <v>247</v>
      </c>
      <c r="B48" s="8" t="s">
        <v>196</v>
      </c>
      <c r="C48" s="8" t="s">
        <v>248</v>
      </c>
      <c r="D48" s="8" t="s">
        <v>100</v>
      </c>
      <c r="E48" s="8" t="s">
        <v>204</v>
      </c>
      <c r="F48" s="8" t="s">
        <v>592</v>
      </c>
      <c r="G48" s="8" t="s">
        <v>592</v>
      </c>
      <c r="H48" s="8" t="s">
        <v>592</v>
      </c>
      <c r="I48" s="8" t="s">
        <v>592</v>
      </c>
      <c r="J48" s="8" t="s">
        <v>593</v>
      </c>
      <c r="K48" s="8" t="s">
        <v>593</v>
      </c>
      <c r="L48" s="8" t="s">
        <v>593</v>
      </c>
      <c r="M48" s="8" t="s">
        <v>593</v>
      </c>
      <c r="N48" s="8" t="s">
        <v>479</v>
      </c>
      <c r="O48" s="8" t="s">
        <v>479</v>
      </c>
    </row>
    <row r="49" customFormat="false" ht="22.35" hidden="false" customHeight="false" outlineLevel="0" collapsed="false">
      <c r="A49" s="8" t="s">
        <v>251</v>
      </c>
      <c r="B49" s="8" t="s">
        <v>196</v>
      </c>
      <c r="C49" s="8" t="s">
        <v>252</v>
      </c>
      <c r="D49" s="8" t="s">
        <v>94</v>
      </c>
      <c r="E49" s="8" t="s">
        <v>119</v>
      </c>
      <c r="F49" s="8" t="s">
        <v>475</v>
      </c>
      <c r="G49" s="8" t="s">
        <v>475</v>
      </c>
      <c r="H49" s="8" t="s">
        <v>475</v>
      </c>
      <c r="I49" s="8" t="s">
        <v>475</v>
      </c>
      <c r="J49" s="8" t="s">
        <v>594</v>
      </c>
      <c r="K49" s="8" t="s">
        <v>594</v>
      </c>
      <c r="L49" s="8" t="s">
        <v>594</v>
      </c>
      <c r="M49" s="8" t="s">
        <v>594</v>
      </c>
      <c r="N49" s="8" t="s">
        <v>479</v>
      </c>
      <c r="O49" s="8" t="s">
        <v>479</v>
      </c>
    </row>
    <row r="50" customFormat="false" ht="15" hidden="false" customHeight="false" outlineLevel="0" collapsed="false">
      <c r="A50" s="7" t="s">
        <v>255</v>
      </c>
      <c r="B50" s="7" t="s">
        <v>256</v>
      </c>
      <c r="C50" s="7" t="s">
        <v>257</v>
      </c>
      <c r="D50" s="7" t="s">
        <v>100</v>
      </c>
      <c r="E50" s="7" t="s">
        <v>119</v>
      </c>
      <c r="F50" s="8" t="s">
        <v>595</v>
      </c>
      <c r="G50" s="8" t="s">
        <v>496</v>
      </c>
      <c r="H50" s="8" t="s">
        <v>595</v>
      </c>
      <c r="I50" s="8" t="s">
        <v>595</v>
      </c>
      <c r="J50" s="8" t="s">
        <v>486</v>
      </c>
      <c r="K50" s="8" t="s">
        <v>486</v>
      </c>
      <c r="L50" s="8" t="s">
        <v>596</v>
      </c>
      <c r="M50" s="8" t="s">
        <v>596</v>
      </c>
      <c r="N50" s="11" t="s">
        <v>459</v>
      </c>
      <c r="O50" s="12" t="s">
        <v>464</v>
      </c>
    </row>
    <row r="51" customFormat="false" ht="22.35" hidden="false" customHeight="false" outlineLevel="0" collapsed="false">
      <c r="A51" s="8" t="s">
        <v>260</v>
      </c>
      <c r="B51" s="8" t="s">
        <v>256</v>
      </c>
      <c r="C51" s="8" t="s">
        <v>261</v>
      </c>
      <c r="D51" s="8" t="s">
        <v>100</v>
      </c>
      <c r="E51" s="8" t="s">
        <v>119</v>
      </c>
      <c r="F51" s="8" t="s">
        <v>597</v>
      </c>
      <c r="G51" s="8" t="s">
        <v>597</v>
      </c>
      <c r="H51" s="8" t="s">
        <v>546</v>
      </c>
      <c r="I51" s="8" t="s">
        <v>598</v>
      </c>
      <c r="J51" s="8" t="s">
        <v>599</v>
      </c>
      <c r="K51" s="8" t="s">
        <v>599</v>
      </c>
      <c r="L51" s="8" t="s">
        <v>599</v>
      </c>
      <c r="M51" s="8" t="s">
        <v>599</v>
      </c>
      <c r="N51" s="12" t="s">
        <v>464</v>
      </c>
      <c r="O51" s="8" t="s">
        <v>479</v>
      </c>
    </row>
    <row r="52" customFormat="false" ht="22.35" hidden="false" customHeight="false" outlineLevel="0" collapsed="false">
      <c r="A52" s="8" t="s">
        <v>265</v>
      </c>
      <c r="B52" s="8" t="s">
        <v>256</v>
      </c>
      <c r="C52" s="8" t="s">
        <v>266</v>
      </c>
      <c r="D52" s="8" t="s">
        <v>100</v>
      </c>
      <c r="E52" s="8" t="s">
        <v>119</v>
      </c>
      <c r="F52" s="8" t="s">
        <v>600</v>
      </c>
      <c r="G52" s="8" t="s">
        <v>600</v>
      </c>
      <c r="H52" s="8" t="s">
        <v>600</v>
      </c>
      <c r="I52" s="8" t="s">
        <v>601</v>
      </c>
      <c r="J52" s="8" t="s">
        <v>599</v>
      </c>
      <c r="K52" s="8" t="s">
        <v>599</v>
      </c>
      <c r="L52" s="8" t="s">
        <v>599</v>
      </c>
      <c r="M52" s="8" t="s">
        <v>599</v>
      </c>
      <c r="N52" s="12" t="s">
        <v>464</v>
      </c>
      <c r="O52" s="8" t="s">
        <v>479</v>
      </c>
    </row>
    <row r="53" customFormat="false" ht="22.35" hidden="false" customHeight="false" outlineLevel="0" collapsed="false">
      <c r="A53" s="8" t="s">
        <v>269</v>
      </c>
      <c r="B53" s="8" t="s">
        <v>256</v>
      </c>
      <c r="C53" s="8" t="s">
        <v>270</v>
      </c>
      <c r="D53" s="8" t="s">
        <v>72</v>
      </c>
      <c r="E53" s="8" t="s">
        <v>119</v>
      </c>
      <c r="F53" s="8" t="s">
        <v>602</v>
      </c>
      <c r="G53" s="8" t="s">
        <v>602</v>
      </c>
      <c r="H53" s="8" t="s">
        <v>603</v>
      </c>
      <c r="I53" s="8" t="s">
        <v>604</v>
      </c>
      <c r="J53" s="8" t="s">
        <v>605</v>
      </c>
      <c r="K53" s="8" t="s">
        <v>605</v>
      </c>
      <c r="L53" s="8" t="s">
        <v>605</v>
      </c>
      <c r="M53" s="8" t="s">
        <v>605</v>
      </c>
      <c r="N53" s="12" t="s">
        <v>464</v>
      </c>
      <c r="O53" s="8" t="s">
        <v>472</v>
      </c>
    </row>
    <row r="54" customFormat="false" ht="22.35" hidden="false" customHeight="false" outlineLevel="0" collapsed="false">
      <c r="A54" s="8" t="s">
        <v>273</v>
      </c>
      <c r="B54" s="8" t="s">
        <v>256</v>
      </c>
      <c r="C54" s="8" t="s">
        <v>274</v>
      </c>
      <c r="D54" s="8" t="s">
        <v>100</v>
      </c>
      <c r="E54" s="8" t="s">
        <v>147</v>
      </c>
      <c r="F54" s="8" t="s">
        <v>606</v>
      </c>
      <c r="G54" s="8" t="s">
        <v>607</v>
      </c>
      <c r="H54" s="8" t="s">
        <v>607</v>
      </c>
      <c r="I54" s="8" t="s">
        <v>607</v>
      </c>
      <c r="J54" s="8" t="s">
        <v>608</v>
      </c>
      <c r="K54" s="8" t="s">
        <v>608</v>
      </c>
      <c r="L54" s="8" t="s">
        <v>608</v>
      </c>
      <c r="M54" s="8" t="s">
        <v>608</v>
      </c>
      <c r="N54" s="10" t="s">
        <v>451</v>
      </c>
      <c r="O54" s="10" t="s">
        <v>451</v>
      </c>
    </row>
    <row r="55" customFormat="false" ht="22.35" hidden="false" customHeight="false" outlineLevel="0" collapsed="false">
      <c r="A55" s="8" t="s">
        <v>278</v>
      </c>
      <c r="B55" s="8" t="s">
        <v>256</v>
      </c>
      <c r="C55" s="8" t="s">
        <v>279</v>
      </c>
      <c r="D55" s="8" t="s">
        <v>100</v>
      </c>
      <c r="E55" s="8" t="s">
        <v>119</v>
      </c>
      <c r="F55" s="8" t="s">
        <v>609</v>
      </c>
      <c r="G55" s="8" t="s">
        <v>610</v>
      </c>
      <c r="H55" s="8" t="s">
        <v>496</v>
      </c>
      <c r="I55" s="8" t="s">
        <v>496</v>
      </c>
      <c r="J55" s="8" t="s">
        <v>611</v>
      </c>
      <c r="K55" s="8" t="s">
        <v>611</v>
      </c>
      <c r="L55" s="8" t="s">
        <v>611</v>
      </c>
      <c r="M55" s="8" t="s">
        <v>611</v>
      </c>
      <c r="N55" s="11" t="s">
        <v>459</v>
      </c>
      <c r="O55" s="11" t="s">
        <v>459</v>
      </c>
    </row>
    <row r="56" customFormat="false" ht="32.8" hidden="false" customHeight="false" outlineLevel="0" collapsed="false">
      <c r="A56" s="8" t="s">
        <v>282</v>
      </c>
      <c r="B56" s="8" t="s">
        <v>256</v>
      </c>
      <c r="C56" s="8" t="s">
        <v>283</v>
      </c>
      <c r="D56" s="8" t="s">
        <v>100</v>
      </c>
      <c r="E56" s="8" t="s">
        <v>147</v>
      </c>
      <c r="F56" s="8" t="s">
        <v>475</v>
      </c>
      <c r="G56" s="8" t="s">
        <v>475</v>
      </c>
      <c r="H56" s="8" t="s">
        <v>475</v>
      </c>
      <c r="I56" s="8" t="s">
        <v>475</v>
      </c>
      <c r="J56" s="8" t="s">
        <v>612</v>
      </c>
      <c r="K56" s="8" t="s">
        <v>612</v>
      </c>
      <c r="L56" s="8" t="s">
        <v>613</v>
      </c>
      <c r="M56" s="8" t="s">
        <v>613</v>
      </c>
      <c r="N56" s="8" t="s">
        <v>479</v>
      </c>
      <c r="O56" s="10" t="s">
        <v>451</v>
      </c>
    </row>
    <row r="57" customFormat="false" ht="15" hidden="false" customHeight="false" outlineLevel="0" collapsed="false">
      <c r="A57" s="8" t="s">
        <v>287</v>
      </c>
      <c r="B57" s="8" t="s">
        <v>256</v>
      </c>
      <c r="C57" s="8" t="s">
        <v>288</v>
      </c>
      <c r="D57" s="8" t="s">
        <v>100</v>
      </c>
      <c r="E57" s="8" t="s">
        <v>147</v>
      </c>
      <c r="F57" s="8" t="s">
        <v>600</v>
      </c>
      <c r="G57" s="8" t="s">
        <v>600</v>
      </c>
      <c r="H57" s="8" t="s">
        <v>600</v>
      </c>
      <c r="I57" s="8" t="s">
        <v>614</v>
      </c>
      <c r="J57" s="8" t="s">
        <v>530</v>
      </c>
      <c r="K57" s="8" t="s">
        <v>530</v>
      </c>
      <c r="L57" s="8" t="s">
        <v>615</v>
      </c>
      <c r="M57" s="8" t="s">
        <v>615</v>
      </c>
      <c r="N57" s="12" t="s">
        <v>464</v>
      </c>
      <c r="O57" s="12" t="s">
        <v>464</v>
      </c>
    </row>
    <row r="58" customFormat="false" ht="32.8" hidden="false" customHeight="false" outlineLevel="0" collapsed="false">
      <c r="A58" s="8" t="s">
        <v>291</v>
      </c>
      <c r="B58" s="8" t="s">
        <v>256</v>
      </c>
      <c r="C58" s="8" t="s">
        <v>292</v>
      </c>
      <c r="D58" s="8" t="s">
        <v>72</v>
      </c>
      <c r="E58" s="8" t="s">
        <v>48</v>
      </c>
      <c r="F58" s="8" t="s">
        <v>48</v>
      </c>
      <c r="G58" s="8" t="s">
        <v>48</v>
      </c>
      <c r="H58" s="8" t="s">
        <v>48</v>
      </c>
      <c r="I58" s="8" t="s">
        <v>48</v>
      </c>
      <c r="J58" s="8" t="s">
        <v>48</v>
      </c>
      <c r="K58" s="8" t="s">
        <v>48</v>
      </c>
      <c r="L58" s="8" t="s">
        <v>616</v>
      </c>
      <c r="M58" s="8" t="s">
        <v>616</v>
      </c>
      <c r="N58" s="8" t="s">
        <v>472</v>
      </c>
      <c r="O58" s="12" t="s">
        <v>464</v>
      </c>
    </row>
    <row r="59" customFormat="false" ht="22.35" hidden="false" customHeight="false" outlineLevel="0" collapsed="false">
      <c r="A59" s="8" t="s">
        <v>296</v>
      </c>
      <c r="B59" s="8" t="s">
        <v>256</v>
      </c>
      <c r="C59" s="8" t="s">
        <v>297</v>
      </c>
      <c r="D59" s="8" t="s">
        <v>100</v>
      </c>
      <c r="E59" s="8" t="s">
        <v>147</v>
      </c>
      <c r="F59" s="8" t="s">
        <v>549</v>
      </c>
      <c r="G59" s="8" t="s">
        <v>549</v>
      </c>
      <c r="H59" s="8" t="s">
        <v>549</v>
      </c>
      <c r="I59" s="8" t="s">
        <v>549</v>
      </c>
      <c r="J59" s="8" t="s">
        <v>549</v>
      </c>
      <c r="K59" s="8" t="s">
        <v>549</v>
      </c>
      <c r="L59" s="8" t="s">
        <v>549</v>
      </c>
      <c r="M59" s="8" t="s">
        <v>549</v>
      </c>
      <c r="N59" s="8" t="s">
        <v>479</v>
      </c>
      <c r="O59" s="8" t="s">
        <v>479</v>
      </c>
    </row>
    <row r="60" customFormat="false" ht="22.35" hidden="false" customHeight="false" outlineLevel="0" collapsed="false">
      <c r="A60" s="8" t="s">
        <v>300</v>
      </c>
      <c r="B60" s="8" t="s">
        <v>256</v>
      </c>
      <c r="C60" s="8" t="s">
        <v>301</v>
      </c>
      <c r="D60" s="8" t="s">
        <v>100</v>
      </c>
      <c r="E60" s="8" t="s">
        <v>147</v>
      </c>
      <c r="F60" s="8" t="s">
        <v>549</v>
      </c>
      <c r="G60" s="8" t="s">
        <v>549</v>
      </c>
      <c r="H60" s="8" t="s">
        <v>549</v>
      </c>
      <c r="I60" s="8" t="s">
        <v>549</v>
      </c>
      <c r="J60" s="8" t="s">
        <v>549</v>
      </c>
      <c r="K60" s="8" t="s">
        <v>549</v>
      </c>
      <c r="L60" s="8" t="s">
        <v>549</v>
      </c>
      <c r="M60" s="8" t="s">
        <v>549</v>
      </c>
      <c r="N60" s="8" t="s">
        <v>479</v>
      </c>
      <c r="O60" s="8" t="s">
        <v>479</v>
      </c>
    </row>
    <row r="61" customFormat="false" ht="32.8" hidden="false" customHeight="false" outlineLevel="0" collapsed="false">
      <c r="A61" s="8" t="s">
        <v>304</v>
      </c>
      <c r="B61" s="8" t="s">
        <v>256</v>
      </c>
      <c r="C61" s="8" t="s">
        <v>305</v>
      </c>
      <c r="D61" s="8" t="s">
        <v>100</v>
      </c>
      <c r="E61" s="8" t="s">
        <v>147</v>
      </c>
      <c r="F61" s="8" t="s">
        <v>617</v>
      </c>
      <c r="G61" s="8" t="s">
        <v>617</v>
      </c>
      <c r="H61" s="8" t="s">
        <v>617</v>
      </c>
      <c r="I61" s="8" t="s">
        <v>617</v>
      </c>
      <c r="J61" s="8" t="s">
        <v>618</v>
      </c>
      <c r="K61" s="8" t="s">
        <v>618</v>
      </c>
      <c r="L61" s="8" t="s">
        <v>618</v>
      </c>
      <c r="M61" s="8" t="s">
        <v>618</v>
      </c>
      <c r="N61" s="8" t="s">
        <v>479</v>
      </c>
      <c r="O61" s="8" t="s">
        <v>479</v>
      </c>
    </row>
    <row r="62" customFormat="false" ht="22.35" hidden="false" customHeight="false" outlineLevel="0" collapsed="false">
      <c r="A62" s="8" t="s">
        <v>309</v>
      </c>
      <c r="B62" s="8" t="s">
        <v>256</v>
      </c>
      <c r="C62" s="8" t="s">
        <v>310</v>
      </c>
      <c r="D62" s="8" t="s">
        <v>72</v>
      </c>
      <c r="E62" s="8" t="s">
        <v>48</v>
      </c>
      <c r="F62" s="8" t="s">
        <v>619</v>
      </c>
      <c r="G62" s="8" t="s">
        <v>619</v>
      </c>
      <c r="H62" s="8" t="s">
        <v>619</v>
      </c>
      <c r="I62" s="8" t="s">
        <v>619</v>
      </c>
      <c r="J62" s="8" t="s">
        <v>619</v>
      </c>
      <c r="K62" s="8" t="s">
        <v>619</v>
      </c>
      <c r="L62" s="8" t="s">
        <v>619</v>
      </c>
      <c r="M62" s="8" t="s">
        <v>619</v>
      </c>
      <c r="N62" s="8" t="s">
        <v>479</v>
      </c>
      <c r="O62" s="8" t="s">
        <v>479</v>
      </c>
    </row>
    <row r="63" customFormat="false" ht="22.35" hidden="false" customHeight="false" outlineLevel="0" collapsed="false">
      <c r="A63" s="7" t="s">
        <v>314</v>
      </c>
      <c r="B63" s="7" t="s">
        <v>315</v>
      </c>
      <c r="C63" s="7" t="s">
        <v>316</v>
      </c>
      <c r="D63" s="7" t="s">
        <v>100</v>
      </c>
      <c r="E63" s="7" t="s">
        <v>119</v>
      </c>
      <c r="F63" s="8" t="s">
        <v>620</v>
      </c>
      <c r="G63" s="8" t="s">
        <v>621</v>
      </c>
      <c r="H63" s="8" t="s">
        <v>621</v>
      </c>
      <c r="I63" s="8" t="s">
        <v>621</v>
      </c>
      <c r="J63" s="8" t="s">
        <v>622</v>
      </c>
      <c r="K63" s="8" t="s">
        <v>623</v>
      </c>
      <c r="L63" s="8" t="s">
        <v>623</v>
      </c>
      <c r="M63" s="8" t="s">
        <v>623</v>
      </c>
      <c r="N63" s="11" t="s">
        <v>459</v>
      </c>
      <c r="O63" s="11" t="s">
        <v>459</v>
      </c>
    </row>
    <row r="64" customFormat="false" ht="22.35" hidden="false" customHeight="false" outlineLevel="0" collapsed="false">
      <c r="A64" s="8" t="s">
        <v>320</v>
      </c>
      <c r="B64" s="8" t="s">
        <v>315</v>
      </c>
      <c r="C64" s="8" t="s">
        <v>321</v>
      </c>
      <c r="D64" s="8" t="s">
        <v>72</v>
      </c>
      <c r="E64" s="8" t="s">
        <v>119</v>
      </c>
      <c r="F64" s="8" t="s">
        <v>624</v>
      </c>
      <c r="G64" s="8" t="s">
        <v>621</v>
      </c>
      <c r="H64" s="8" t="s">
        <v>625</v>
      </c>
      <c r="I64" s="8" t="s">
        <v>626</v>
      </c>
      <c r="J64" s="8" t="s">
        <v>627</v>
      </c>
      <c r="K64" s="8" t="s">
        <v>627</v>
      </c>
      <c r="L64" s="8" t="s">
        <v>627</v>
      </c>
      <c r="M64" s="8" t="s">
        <v>627</v>
      </c>
      <c r="N64" s="12" t="s">
        <v>464</v>
      </c>
      <c r="O64" s="11" t="s">
        <v>459</v>
      </c>
    </row>
    <row r="65" customFormat="false" ht="22.35" hidden="false" customHeight="false" outlineLevel="0" collapsed="false">
      <c r="A65" s="8" t="s">
        <v>325</v>
      </c>
      <c r="B65" s="8" t="s">
        <v>315</v>
      </c>
      <c r="C65" s="8" t="s">
        <v>326</v>
      </c>
      <c r="D65" s="8" t="s">
        <v>72</v>
      </c>
      <c r="E65" s="8" t="s">
        <v>119</v>
      </c>
      <c r="F65" s="8" t="s">
        <v>628</v>
      </c>
      <c r="G65" s="8" t="s">
        <v>629</v>
      </c>
      <c r="H65" s="8" t="s">
        <v>630</v>
      </c>
      <c r="I65" s="8" t="s">
        <v>631</v>
      </c>
      <c r="J65" s="8" t="s">
        <v>632</v>
      </c>
      <c r="K65" s="8" t="s">
        <v>632</v>
      </c>
      <c r="L65" s="8" t="s">
        <v>632</v>
      </c>
      <c r="M65" s="8" t="s">
        <v>632</v>
      </c>
      <c r="N65" s="12" t="s">
        <v>464</v>
      </c>
      <c r="O65" s="11" t="s">
        <v>459</v>
      </c>
    </row>
    <row r="66" customFormat="false" ht="22.35" hidden="false" customHeight="false" outlineLevel="0" collapsed="false">
      <c r="A66" s="8" t="s">
        <v>329</v>
      </c>
      <c r="B66" s="8" t="s">
        <v>315</v>
      </c>
      <c r="C66" s="8" t="s">
        <v>330</v>
      </c>
      <c r="D66" s="8" t="s">
        <v>72</v>
      </c>
      <c r="E66" s="8" t="s">
        <v>119</v>
      </c>
      <c r="F66" s="8" t="s">
        <v>633</v>
      </c>
      <c r="G66" s="8" t="s">
        <v>633</v>
      </c>
      <c r="H66" s="8" t="s">
        <v>634</v>
      </c>
      <c r="I66" s="8" t="s">
        <v>635</v>
      </c>
      <c r="J66" s="8" t="s">
        <v>636</v>
      </c>
      <c r="K66" s="8" t="s">
        <v>636</v>
      </c>
      <c r="L66" s="8" t="s">
        <v>636</v>
      </c>
      <c r="M66" s="8" t="s">
        <v>636</v>
      </c>
      <c r="N66" s="12" t="s">
        <v>464</v>
      </c>
      <c r="O66" s="11" t="s">
        <v>459</v>
      </c>
    </row>
    <row r="67" customFormat="false" ht="22.35" hidden="false" customHeight="false" outlineLevel="0" collapsed="false">
      <c r="A67" s="8" t="s">
        <v>333</v>
      </c>
      <c r="B67" s="8" t="s">
        <v>315</v>
      </c>
      <c r="C67" s="8" t="s">
        <v>334</v>
      </c>
      <c r="D67" s="8" t="s">
        <v>72</v>
      </c>
      <c r="E67" s="8" t="s">
        <v>119</v>
      </c>
      <c r="F67" s="8" t="s">
        <v>475</v>
      </c>
      <c r="G67" s="8" t="s">
        <v>475</v>
      </c>
      <c r="H67" s="8" t="s">
        <v>475</v>
      </c>
      <c r="I67" s="8" t="s">
        <v>475</v>
      </c>
      <c r="J67" s="8" t="s">
        <v>637</v>
      </c>
      <c r="K67" s="8" t="s">
        <v>637</v>
      </c>
      <c r="L67" s="8" t="s">
        <v>638</v>
      </c>
      <c r="M67" s="8" t="s">
        <v>638</v>
      </c>
      <c r="N67" s="8" t="s">
        <v>479</v>
      </c>
      <c r="O67" s="11" t="s">
        <v>459</v>
      </c>
    </row>
    <row r="68" customFormat="false" ht="32.8" hidden="false" customHeight="false" outlineLevel="0" collapsed="false">
      <c r="A68" s="8" t="s">
        <v>337</v>
      </c>
      <c r="B68" s="8" t="s">
        <v>315</v>
      </c>
      <c r="C68" s="8" t="s">
        <v>338</v>
      </c>
      <c r="D68" s="8" t="s">
        <v>72</v>
      </c>
      <c r="E68" s="8" t="s">
        <v>119</v>
      </c>
      <c r="F68" s="8" t="s">
        <v>639</v>
      </c>
      <c r="G68" s="8" t="s">
        <v>640</v>
      </c>
      <c r="H68" s="8" t="s">
        <v>641</v>
      </c>
      <c r="I68" s="8" t="s">
        <v>642</v>
      </c>
      <c r="J68" s="8" t="s">
        <v>475</v>
      </c>
      <c r="K68" s="8" t="s">
        <v>475</v>
      </c>
      <c r="L68" s="8" t="s">
        <v>475</v>
      </c>
      <c r="M68" s="8" t="s">
        <v>475</v>
      </c>
      <c r="N68" s="11" t="s">
        <v>459</v>
      </c>
      <c r="O68" s="8" t="s">
        <v>479</v>
      </c>
    </row>
    <row r="69" customFormat="false" ht="22.35" hidden="false" customHeight="false" outlineLevel="0" collapsed="false">
      <c r="A69" s="7" t="s">
        <v>342</v>
      </c>
      <c r="B69" s="7" t="s">
        <v>343</v>
      </c>
      <c r="C69" s="7" t="s">
        <v>344</v>
      </c>
      <c r="D69" s="7" t="s">
        <v>72</v>
      </c>
      <c r="E69" s="7" t="s">
        <v>119</v>
      </c>
      <c r="F69" s="8" t="s">
        <v>643</v>
      </c>
      <c r="G69" s="8" t="s">
        <v>644</v>
      </c>
      <c r="H69" s="8" t="s">
        <v>644</v>
      </c>
      <c r="I69" s="8" t="s">
        <v>644</v>
      </c>
      <c r="J69" s="8" t="s">
        <v>645</v>
      </c>
      <c r="K69" s="8" t="s">
        <v>646</v>
      </c>
      <c r="L69" s="8" t="s">
        <v>647</v>
      </c>
      <c r="M69" s="8" t="s">
        <v>647</v>
      </c>
      <c r="N69" s="11" t="s">
        <v>459</v>
      </c>
      <c r="O69" s="12" t="s">
        <v>464</v>
      </c>
    </row>
    <row r="70" customFormat="false" ht="22.35" hidden="false" customHeight="false" outlineLevel="0" collapsed="false">
      <c r="A70" s="8" t="s">
        <v>348</v>
      </c>
      <c r="B70" s="8" t="s">
        <v>343</v>
      </c>
      <c r="C70" s="8" t="s">
        <v>349</v>
      </c>
      <c r="D70" s="8" t="s">
        <v>72</v>
      </c>
      <c r="E70" s="8" t="s">
        <v>119</v>
      </c>
      <c r="F70" s="8" t="s">
        <v>475</v>
      </c>
      <c r="G70" s="8" t="s">
        <v>475</v>
      </c>
      <c r="H70" s="8" t="s">
        <v>475</v>
      </c>
      <c r="I70" s="8" t="s">
        <v>475</v>
      </c>
      <c r="J70" s="8" t="s">
        <v>648</v>
      </c>
      <c r="K70" s="8" t="s">
        <v>649</v>
      </c>
      <c r="L70" s="8" t="s">
        <v>650</v>
      </c>
      <c r="M70" s="8" t="s">
        <v>650</v>
      </c>
      <c r="N70" s="8" t="s">
        <v>479</v>
      </c>
      <c r="O70" s="11" t="s">
        <v>459</v>
      </c>
    </row>
    <row r="71" customFormat="false" ht="15" hidden="false" customHeight="false" outlineLevel="0" collapsed="false">
      <c r="A71" s="8" t="s">
        <v>352</v>
      </c>
      <c r="B71" s="8" t="s">
        <v>343</v>
      </c>
      <c r="C71" s="8" t="s">
        <v>353</v>
      </c>
      <c r="D71" s="8" t="s">
        <v>72</v>
      </c>
      <c r="E71" s="8" t="s">
        <v>119</v>
      </c>
      <c r="F71" s="8" t="s">
        <v>475</v>
      </c>
      <c r="G71" s="8" t="s">
        <v>475</v>
      </c>
      <c r="H71" s="8" t="s">
        <v>475</v>
      </c>
      <c r="I71" s="8" t="s">
        <v>475</v>
      </c>
      <c r="J71" s="8" t="s">
        <v>475</v>
      </c>
      <c r="K71" s="8" t="s">
        <v>475</v>
      </c>
      <c r="L71" s="8" t="s">
        <v>475</v>
      </c>
      <c r="M71" s="8" t="s">
        <v>475</v>
      </c>
      <c r="N71" s="8" t="s">
        <v>479</v>
      </c>
      <c r="O71" s="8" t="s">
        <v>479</v>
      </c>
    </row>
    <row r="72" customFormat="false" ht="22.35" hidden="false" customHeight="false" outlineLevel="0" collapsed="false">
      <c r="A72" s="8" t="s">
        <v>356</v>
      </c>
      <c r="B72" s="8" t="s">
        <v>343</v>
      </c>
      <c r="C72" s="8" t="s">
        <v>357</v>
      </c>
      <c r="D72" s="8" t="s">
        <v>72</v>
      </c>
      <c r="E72" s="8" t="s">
        <v>119</v>
      </c>
      <c r="F72" s="8" t="s">
        <v>651</v>
      </c>
      <c r="G72" s="8" t="s">
        <v>496</v>
      </c>
      <c r="H72" s="8" t="s">
        <v>496</v>
      </c>
      <c r="I72" s="8" t="s">
        <v>496</v>
      </c>
      <c r="J72" s="8" t="s">
        <v>652</v>
      </c>
      <c r="K72" s="8" t="s">
        <v>652</v>
      </c>
      <c r="L72" s="8" t="s">
        <v>653</v>
      </c>
      <c r="M72" s="8" t="s">
        <v>653</v>
      </c>
      <c r="N72" s="11" t="s">
        <v>459</v>
      </c>
      <c r="O72" s="11" t="s">
        <v>459</v>
      </c>
    </row>
    <row r="73" customFormat="false" ht="15" hidden="false" customHeight="false" outlineLevel="0" collapsed="false">
      <c r="A73" s="8" t="s">
        <v>361</v>
      </c>
      <c r="B73" s="8" t="s">
        <v>343</v>
      </c>
      <c r="C73" s="8" t="s">
        <v>362</v>
      </c>
      <c r="D73" s="8" t="s">
        <v>72</v>
      </c>
      <c r="E73" s="8" t="s">
        <v>119</v>
      </c>
      <c r="F73" s="8" t="s">
        <v>654</v>
      </c>
      <c r="G73" s="8" t="s">
        <v>496</v>
      </c>
      <c r="H73" s="8" t="s">
        <v>496</v>
      </c>
      <c r="I73" s="8" t="s">
        <v>496</v>
      </c>
      <c r="J73" s="8" t="s">
        <v>655</v>
      </c>
      <c r="K73" s="8" t="s">
        <v>655</v>
      </c>
      <c r="L73" s="8" t="s">
        <v>655</v>
      </c>
      <c r="M73" s="8" t="s">
        <v>655</v>
      </c>
      <c r="N73" s="11" t="s">
        <v>459</v>
      </c>
      <c r="O73" s="10" t="s">
        <v>451</v>
      </c>
    </row>
    <row r="74" customFormat="false" ht="22.35" hidden="false" customHeight="false" outlineLevel="0" collapsed="false">
      <c r="A74" s="8" t="s">
        <v>366</v>
      </c>
      <c r="B74" s="8" t="s">
        <v>343</v>
      </c>
      <c r="C74" s="8" t="s">
        <v>367</v>
      </c>
      <c r="D74" s="8" t="s">
        <v>72</v>
      </c>
      <c r="E74" s="8" t="s">
        <v>119</v>
      </c>
      <c r="F74" s="8" t="s">
        <v>475</v>
      </c>
      <c r="G74" s="8" t="s">
        <v>475</v>
      </c>
      <c r="H74" s="8" t="s">
        <v>475</v>
      </c>
      <c r="I74" s="8" t="s">
        <v>475</v>
      </c>
      <c r="J74" s="8" t="s">
        <v>637</v>
      </c>
      <c r="K74" s="8" t="s">
        <v>656</v>
      </c>
      <c r="L74" s="8" t="s">
        <v>637</v>
      </c>
      <c r="M74" s="8" t="s">
        <v>637</v>
      </c>
      <c r="N74" s="8" t="s">
        <v>479</v>
      </c>
      <c r="O74" s="11" t="s">
        <v>459</v>
      </c>
    </row>
    <row r="75" customFormat="false" ht="22.35" hidden="false" customHeight="false" outlineLevel="0" collapsed="false">
      <c r="A75" s="7" t="s">
        <v>371</v>
      </c>
      <c r="B75" s="7" t="s">
        <v>372</v>
      </c>
      <c r="C75" s="7" t="s">
        <v>373</v>
      </c>
      <c r="D75" s="7" t="s">
        <v>94</v>
      </c>
      <c r="E75" s="7" t="s">
        <v>147</v>
      </c>
      <c r="F75" s="8" t="s">
        <v>657</v>
      </c>
      <c r="G75" s="8" t="s">
        <v>657</v>
      </c>
      <c r="H75" s="8" t="s">
        <v>657</v>
      </c>
      <c r="I75" s="8" t="s">
        <v>657</v>
      </c>
      <c r="J75" s="8" t="s">
        <v>658</v>
      </c>
      <c r="K75" s="8" t="s">
        <v>659</v>
      </c>
      <c r="L75" s="8" t="s">
        <v>659</v>
      </c>
      <c r="M75" s="8" t="s">
        <v>659</v>
      </c>
      <c r="N75" s="10" t="s">
        <v>451</v>
      </c>
      <c r="O75" s="10" t="s">
        <v>451</v>
      </c>
    </row>
    <row r="76" customFormat="false" ht="15" hidden="false" customHeight="false" outlineLevel="0" collapsed="false">
      <c r="A76" s="8" t="s">
        <v>376</v>
      </c>
      <c r="B76" s="8" t="s">
        <v>372</v>
      </c>
      <c r="C76" s="8" t="s">
        <v>377</v>
      </c>
      <c r="D76" s="8" t="s">
        <v>47</v>
      </c>
      <c r="E76" s="8" t="s">
        <v>48</v>
      </c>
      <c r="F76" s="8" t="s">
        <v>660</v>
      </c>
      <c r="G76" s="8" t="s">
        <v>660</v>
      </c>
      <c r="H76" s="8" t="s">
        <v>660</v>
      </c>
      <c r="I76" s="8" t="s">
        <v>660</v>
      </c>
      <c r="J76" s="8" t="s">
        <v>660</v>
      </c>
      <c r="K76" s="8" t="s">
        <v>660</v>
      </c>
      <c r="L76" s="8" t="s">
        <v>660</v>
      </c>
      <c r="M76" s="8" t="s">
        <v>660</v>
      </c>
      <c r="N76" s="10" t="s">
        <v>451</v>
      </c>
      <c r="O76" s="10" t="s">
        <v>451</v>
      </c>
    </row>
    <row r="77" customFormat="false" ht="22.35" hidden="false" customHeight="false" outlineLevel="0" collapsed="false">
      <c r="A77" s="8" t="s">
        <v>380</v>
      </c>
      <c r="B77" s="8" t="s">
        <v>372</v>
      </c>
      <c r="C77" s="8" t="s">
        <v>381</v>
      </c>
      <c r="D77" s="8" t="s">
        <v>94</v>
      </c>
      <c r="E77" s="8" t="s">
        <v>147</v>
      </c>
      <c r="F77" s="8" t="s">
        <v>661</v>
      </c>
      <c r="G77" s="8" t="s">
        <v>661</v>
      </c>
      <c r="H77" s="8" t="s">
        <v>661</v>
      </c>
      <c r="I77" s="8" t="s">
        <v>661</v>
      </c>
      <c r="J77" s="8" t="s">
        <v>662</v>
      </c>
      <c r="K77" s="8" t="s">
        <v>640</v>
      </c>
      <c r="L77" s="8" t="s">
        <v>640</v>
      </c>
      <c r="M77" s="8" t="s">
        <v>640</v>
      </c>
      <c r="N77" s="10" t="s">
        <v>451</v>
      </c>
      <c r="O77" s="10" t="s">
        <v>451</v>
      </c>
    </row>
    <row r="78" customFormat="false" ht="22.35" hidden="false" customHeight="false" outlineLevel="0" collapsed="false">
      <c r="A78" s="8" t="s">
        <v>385</v>
      </c>
      <c r="B78" s="8" t="s">
        <v>372</v>
      </c>
      <c r="C78" s="8" t="s">
        <v>386</v>
      </c>
      <c r="D78" s="8" t="s">
        <v>94</v>
      </c>
      <c r="E78" s="8" t="s">
        <v>119</v>
      </c>
      <c r="F78" s="8" t="s">
        <v>475</v>
      </c>
      <c r="G78" s="8" t="s">
        <v>475</v>
      </c>
      <c r="H78" s="8" t="s">
        <v>475</v>
      </c>
      <c r="I78" s="8" t="s">
        <v>475</v>
      </c>
      <c r="J78" s="8" t="s">
        <v>663</v>
      </c>
      <c r="K78" s="8" t="s">
        <v>640</v>
      </c>
      <c r="L78" s="8" t="s">
        <v>640</v>
      </c>
      <c r="M78" s="8" t="s">
        <v>640</v>
      </c>
      <c r="N78" s="8" t="s">
        <v>479</v>
      </c>
      <c r="O78" s="11" t="s">
        <v>459</v>
      </c>
    </row>
    <row r="79" customFormat="false" ht="22.35" hidden="false" customHeight="false" outlineLevel="0" collapsed="false">
      <c r="A79" s="8" t="s">
        <v>389</v>
      </c>
      <c r="B79" s="8" t="s">
        <v>372</v>
      </c>
      <c r="C79" s="8" t="s">
        <v>390</v>
      </c>
      <c r="D79" s="8" t="s">
        <v>72</v>
      </c>
      <c r="E79" s="8" t="s">
        <v>119</v>
      </c>
      <c r="F79" s="8" t="s">
        <v>664</v>
      </c>
      <c r="G79" s="8" t="s">
        <v>496</v>
      </c>
      <c r="H79" s="8" t="s">
        <v>496</v>
      </c>
      <c r="I79" s="8" t="s">
        <v>496</v>
      </c>
      <c r="J79" s="8" t="s">
        <v>665</v>
      </c>
      <c r="K79" s="8" t="s">
        <v>640</v>
      </c>
      <c r="L79" s="8" t="s">
        <v>640</v>
      </c>
      <c r="M79" s="8" t="s">
        <v>640</v>
      </c>
      <c r="N79" s="11" t="s">
        <v>459</v>
      </c>
      <c r="O79" s="11" t="s">
        <v>459</v>
      </c>
    </row>
    <row r="80" customFormat="false" ht="22.35" hidden="false" customHeight="false" outlineLevel="0" collapsed="false">
      <c r="A80" s="8" t="s">
        <v>394</v>
      </c>
      <c r="B80" s="8" t="s">
        <v>372</v>
      </c>
      <c r="C80" s="8" t="s">
        <v>395</v>
      </c>
      <c r="D80" s="8" t="s">
        <v>47</v>
      </c>
      <c r="E80" s="8" t="s">
        <v>48</v>
      </c>
      <c r="F80" s="8" t="s">
        <v>475</v>
      </c>
      <c r="G80" s="8" t="s">
        <v>475</v>
      </c>
      <c r="H80" s="8" t="s">
        <v>475</v>
      </c>
      <c r="I80" s="8" t="s">
        <v>475</v>
      </c>
      <c r="J80" s="8" t="s">
        <v>666</v>
      </c>
      <c r="K80" s="8" t="s">
        <v>640</v>
      </c>
      <c r="L80" s="8" t="s">
        <v>640</v>
      </c>
      <c r="M80" s="8" t="s">
        <v>640</v>
      </c>
      <c r="N80" s="8" t="s">
        <v>479</v>
      </c>
      <c r="O80" s="10" t="s">
        <v>451</v>
      </c>
    </row>
    <row r="81" customFormat="false" ht="22.35" hidden="false" customHeight="false" outlineLevel="0" collapsed="false">
      <c r="A81" s="8" t="s">
        <v>399</v>
      </c>
      <c r="B81" s="8" t="s">
        <v>372</v>
      </c>
      <c r="C81" s="8" t="s">
        <v>400</v>
      </c>
      <c r="D81" s="8" t="s">
        <v>72</v>
      </c>
      <c r="E81" s="8" t="s">
        <v>119</v>
      </c>
      <c r="F81" s="8" t="s">
        <v>667</v>
      </c>
      <c r="G81" s="8" t="s">
        <v>668</v>
      </c>
      <c r="H81" s="8" t="s">
        <v>669</v>
      </c>
      <c r="I81" s="8" t="s">
        <v>668</v>
      </c>
      <c r="J81" s="8" t="s">
        <v>670</v>
      </c>
      <c r="K81" s="8" t="s">
        <v>640</v>
      </c>
      <c r="L81" s="8" t="s">
        <v>671</v>
      </c>
      <c r="M81" s="8" t="s">
        <v>671</v>
      </c>
      <c r="N81" s="11" t="s">
        <v>459</v>
      </c>
      <c r="O81" s="11" t="s">
        <v>459</v>
      </c>
    </row>
    <row r="82" customFormat="false" ht="15" hidden="false" customHeight="false" outlineLevel="0" collapsed="false">
      <c r="A82" s="8" t="s">
        <v>403</v>
      </c>
      <c r="B82" s="8" t="s">
        <v>372</v>
      </c>
      <c r="C82" s="8" t="s">
        <v>404</v>
      </c>
      <c r="D82" s="8" t="s">
        <v>94</v>
      </c>
      <c r="E82" s="8" t="s">
        <v>147</v>
      </c>
      <c r="F82" s="8" t="s">
        <v>672</v>
      </c>
      <c r="G82" s="8" t="s">
        <v>672</v>
      </c>
      <c r="H82" s="8" t="s">
        <v>672</v>
      </c>
      <c r="I82" s="8" t="s">
        <v>672</v>
      </c>
      <c r="J82" s="8" t="s">
        <v>672</v>
      </c>
      <c r="K82" s="8" t="s">
        <v>672</v>
      </c>
      <c r="L82" s="8" t="s">
        <v>672</v>
      </c>
      <c r="M82" s="8" t="s">
        <v>672</v>
      </c>
      <c r="N82" s="8" t="s">
        <v>479</v>
      </c>
      <c r="O82" s="8" t="s">
        <v>479</v>
      </c>
    </row>
    <row r="83" customFormat="false" ht="22.35" hidden="false" customHeight="false" outlineLevel="0" collapsed="false">
      <c r="A83" s="7" t="s">
        <v>408</v>
      </c>
      <c r="B83" s="7" t="s">
        <v>409</v>
      </c>
      <c r="C83" s="7" t="s">
        <v>410</v>
      </c>
      <c r="D83" s="7" t="s">
        <v>94</v>
      </c>
      <c r="E83" s="7" t="s">
        <v>48</v>
      </c>
      <c r="F83" s="8" t="s">
        <v>673</v>
      </c>
      <c r="G83" s="8" t="s">
        <v>674</v>
      </c>
      <c r="H83" s="8" t="s">
        <v>675</v>
      </c>
      <c r="I83" s="8" t="s">
        <v>675</v>
      </c>
      <c r="J83" s="8" t="s">
        <v>676</v>
      </c>
      <c r="K83" s="8" t="s">
        <v>640</v>
      </c>
      <c r="L83" s="8" t="s">
        <v>640</v>
      </c>
      <c r="M83" s="8" t="s">
        <v>640</v>
      </c>
      <c r="N83" s="11" t="s">
        <v>459</v>
      </c>
      <c r="O83" s="10" t="s">
        <v>451</v>
      </c>
    </row>
    <row r="84" customFormat="false" ht="22.35" hidden="false" customHeight="false" outlineLevel="0" collapsed="false">
      <c r="A84" s="8" t="s">
        <v>413</v>
      </c>
      <c r="B84" s="8" t="s">
        <v>409</v>
      </c>
      <c r="C84" s="8" t="s">
        <v>414</v>
      </c>
      <c r="D84" s="8" t="s">
        <v>94</v>
      </c>
      <c r="E84" s="8" t="s">
        <v>119</v>
      </c>
      <c r="F84" s="8" t="s">
        <v>677</v>
      </c>
      <c r="G84" s="8" t="s">
        <v>640</v>
      </c>
      <c r="H84" s="8" t="s">
        <v>640</v>
      </c>
      <c r="I84" s="8" t="s">
        <v>640</v>
      </c>
      <c r="J84" s="8" t="s">
        <v>678</v>
      </c>
      <c r="K84" s="8" t="s">
        <v>640</v>
      </c>
      <c r="L84" s="8" t="s">
        <v>640</v>
      </c>
      <c r="M84" s="8" t="s">
        <v>640</v>
      </c>
      <c r="N84" s="8" t="s">
        <v>479</v>
      </c>
      <c r="O84" s="10" t="s">
        <v>451</v>
      </c>
    </row>
    <row r="85" customFormat="false" ht="15" hidden="false" customHeight="false" outlineLevel="0" collapsed="false">
      <c r="A85" s="8" t="s">
        <v>418</v>
      </c>
      <c r="B85" s="8" t="s">
        <v>409</v>
      </c>
      <c r="C85" s="8" t="s">
        <v>419</v>
      </c>
      <c r="D85" s="8" t="s">
        <v>72</v>
      </c>
      <c r="E85" s="8" t="s">
        <v>48</v>
      </c>
      <c r="F85" s="8" t="s">
        <v>475</v>
      </c>
      <c r="G85" s="8" t="s">
        <v>475</v>
      </c>
      <c r="H85" s="8" t="s">
        <v>475</v>
      </c>
      <c r="I85" s="8" t="s">
        <v>475</v>
      </c>
      <c r="J85" s="8" t="s">
        <v>679</v>
      </c>
      <c r="K85" s="8" t="s">
        <v>679</v>
      </c>
      <c r="L85" s="8" t="s">
        <v>680</v>
      </c>
      <c r="M85" s="8" t="s">
        <v>680</v>
      </c>
      <c r="N85" s="8" t="s">
        <v>479</v>
      </c>
      <c r="O85" s="11" t="s">
        <v>459</v>
      </c>
    </row>
    <row r="86" customFormat="false" ht="15" hidden="false" customHeight="false" outlineLevel="0" collapsed="false">
      <c r="A86" s="8" t="s">
        <v>423</v>
      </c>
      <c r="B86" s="8" t="s">
        <v>409</v>
      </c>
      <c r="C86" s="8" t="s">
        <v>424</v>
      </c>
      <c r="D86" s="8" t="s">
        <v>72</v>
      </c>
      <c r="E86" s="8" t="s">
        <v>119</v>
      </c>
      <c r="F86" s="8" t="s">
        <v>475</v>
      </c>
      <c r="G86" s="8" t="s">
        <v>475</v>
      </c>
      <c r="H86" s="8" t="s">
        <v>475</v>
      </c>
      <c r="I86" s="8" t="s">
        <v>475</v>
      </c>
      <c r="J86" s="8" t="s">
        <v>681</v>
      </c>
      <c r="K86" s="8" t="s">
        <v>640</v>
      </c>
      <c r="L86" s="8" t="s">
        <v>640</v>
      </c>
      <c r="M86" s="8" t="s">
        <v>640</v>
      </c>
      <c r="N86" s="8" t="s">
        <v>479</v>
      </c>
      <c r="O86" s="11" t="s">
        <v>459</v>
      </c>
    </row>
    <row r="87" customFormat="false" ht="22.35" hidden="false" customHeight="false" outlineLevel="0" collapsed="false">
      <c r="A87" s="8" t="s">
        <v>428</v>
      </c>
      <c r="B87" s="8" t="s">
        <v>409</v>
      </c>
      <c r="C87" s="8" t="s">
        <v>429</v>
      </c>
      <c r="D87" s="8" t="s">
        <v>72</v>
      </c>
      <c r="E87" s="8" t="s">
        <v>119</v>
      </c>
      <c r="F87" s="8" t="s">
        <v>475</v>
      </c>
      <c r="G87" s="8" t="s">
        <v>475</v>
      </c>
      <c r="H87" s="8" t="s">
        <v>475</v>
      </c>
      <c r="I87" s="8" t="s">
        <v>475</v>
      </c>
      <c r="J87" s="8" t="s">
        <v>682</v>
      </c>
      <c r="K87" s="8" t="s">
        <v>683</v>
      </c>
      <c r="L87" s="8" t="s">
        <v>684</v>
      </c>
      <c r="M87" s="8" t="s">
        <v>684</v>
      </c>
      <c r="N87" s="8" t="s">
        <v>479</v>
      </c>
      <c r="O87" s="11" t="s">
        <v>459</v>
      </c>
    </row>
    <row r="88" customFormat="false" ht="15" hidden="false" customHeight="false" outlineLevel="0" collapsed="false">
      <c r="A88" s="8" t="s">
        <v>433</v>
      </c>
      <c r="B88" s="8" t="s">
        <v>409</v>
      </c>
      <c r="C88" s="8" t="s">
        <v>434</v>
      </c>
      <c r="D88" s="8" t="s">
        <v>47</v>
      </c>
      <c r="E88" s="8" t="s">
        <v>48</v>
      </c>
      <c r="F88" s="8" t="s">
        <v>475</v>
      </c>
      <c r="G88" s="8" t="s">
        <v>475</v>
      </c>
      <c r="H88" s="8" t="s">
        <v>475</v>
      </c>
      <c r="I88" s="8" t="s">
        <v>475</v>
      </c>
      <c r="J88" s="8" t="s">
        <v>685</v>
      </c>
      <c r="K88" s="8" t="s">
        <v>637</v>
      </c>
      <c r="L88" s="8" t="s">
        <v>637</v>
      </c>
      <c r="M88" s="8" t="s">
        <v>637</v>
      </c>
      <c r="N88" s="8" t="s">
        <v>479</v>
      </c>
      <c r="O88" s="11" t="s">
        <v>459</v>
      </c>
    </row>
  </sheetData>
  <autoFilter ref="A3:O88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48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9" t="s">
        <v>686</v>
      </c>
      <c r="B1" s="9"/>
      <c r="C1" s="9"/>
      <c r="D1" s="9"/>
    </row>
    <row r="3" customFormat="false" ht="15" hidden="false" customHeight="false" outlineLevel="0" collapsed="false">
      <c r="A3" s="6" t="s">
        <v>687</v>
      </c>
      <c r="B3" s="6" t="s">
        <v>33</v>
      </c>
      <c r="C3" s="6" t="s">
        <v>688</v>
      </c>
      <c r="D3" s="6" t="s">
        <v>35</v>
      </c>
    </row>
    <row r="4" customFormat="false" ht="22.35" hidden="false" customHeight="false" outlineLevel="0" collapsed="false">
      <c r="A4" s="8" t="s">
        <v>689</v>
      </c>
      <c r="B4" s="8" t="s">
        <v>690</v>
      </c>
      <c r="C4" s="8" t="s">
        <v>691</v>
      </c>
      <c r="D4" s="8" t="s">
        <v>692</v>
      </c>
    </row>
    <row r="5" customFormat="false" ht="15" hidden="false" customHeight="false" outlineLevel="0" collapsed="false">
      <c r="A5" s="8" t="s">
        <v>693</v>
      </c>
      <c r="B5" s="8" t="s">
        <v>694</v>
      </c>
      <c r="C5" s="8" t="s">
        <v>695</v>
      </c>
      <c r="D5" s="8" t="s">
        <v>696</v>
      </c>
    </row>
    <row r="6" customFormat="false" ht="15" hidden="false" customHeight="false" outlineLevel="0" collapsed="false">
      <c r="A6" s="8" t="s">
        <v>697</v>
      </c>
      <c r="B6" s="8" t="s">
        <v>698</v>
      </c>
      <c r="C6" s="8" t="s">
        <v>699</v>
      </c>
      <c r="D6" s="8" t="s">
        <v>700</v>
      </c>
    </row>
    <row r="7" customFormat="false" ht="22.35" hidden="false" customHeight="false" outlineLevel="0" collapsed="false">
      <c r="A7" s="8" t="s">
        <v>701</v>
      </c>
      <c r="B7" s="8" t="s">
        <v>702</v>
      </c>
      <c r="C7" s="8" t="s">
        <v>703</v>
      </c>
      <c r="D7" s="8" t="s">
        <v>704</v>
      </c>
    </row>
    <row r="8" customFormat="false" ht="15" hidden="false" customHeight="false" outlineLevel="0" collapsed="false">
      <c r="A8" s="8" t="s">
        <v>705</v>
      </c>
      <c r="B8" s="8" t="s">
        <v>706</v>
      </c>
      <c r="C8" s="8" t="s">
        <v>707</v>
      </c>
      <c r="D8" s="8" t="s">
        <v>708</v>
      </c>
    </row>
    <row r="9" customFormat="false" ht="22.35" hidden="false" customHeight="false" outlineLevel="0" collapsed="false">
      <c r="A9" s="8" t="s">
        <v>709</v>
      </c>
      <c r="B9" s="8" t="s">
        <v>710</v>
      </c>
      <c r="C9" s="8" t="s">
        <v>711</v>
      </c>
      <c r="D9" s="8" t="s">
        <v>712</v>
      </c>
    </row>
    <row r="10" customFormat="false" ht="22.35" hidden="false" customHeight="false" outlineLevel="0" collapsed="false">
      <c r="A10" s="8" t="s">
        <v>713</v>
      </c>
      <c r="B10" s="8" t="s">
        <v>714</v>
      </c>
      <c r="C10" s="8" t="s">
        <v>715</v>
      </c>
      <c r="D10" s="8" t="s">
        <v>716</v>
      </c>
    </row>
    <row r="11" customFormat="false" ht="15" hidden="false" customHeight="false" outlineLevel="0" collapsed="false">
      <c r="A11" s="8" t="s">
        <v>717</v>
      </c>
      <c r="B11" s="8" t="s">
        <v>718</v>
      </c>
      <c r="C11" s="8" t="s">
        <v>719</v>
      </c>
      <c r="D11" s="8" t="s">
        <v>720</v>
      </c>
    </row>
    <row r="12" customFormat="false" ht="15" hidden="false" customHeight="false" outlineLevel="0" collapsed="false">
      <c r="A12" s="8" t="s">
        <v>721</v>
      </c>
      <c r="B12" s="8" t="s">
        <v>722</v>
      </c>
      <c r="C12" s="8" t="s">
        <v>723</v>
      </c>
      <c r="D12" s="8" t="s">
        <v>724</v>
      </c>
    </row>
    <row r="13" customFormat="false" ht="15" hidden="false" customHeight="false" outlineLevel="0" collapsed="false">
      <c r="A13" s="8" t="s">
        <v>725</v>
      </c>
      <c r="B13" s="8" t="s">
        <v>726</v>
      </c>
      <c r="C13" s="8" t="s">
        <v>727</v>
      </c>
      <c r="D13" s="8" t="s">
        <v>728</v>
      </c>
    </row>
    <row r="14" customFormat="false" ht="15" hidden="false" customHeight="false" outlineLevel="0" collapsed="false">
      <c r="A14" s="8" t="s">
        <v>729</v>
      </c>
      <c r="B14" s="8" t="s">
        <v>730</v>
      </c>
      <c r="C14" s="8" t="s">
        <v>731</v>
      </c>
      <c r="D14" s="8" t="s">
        <v>732</v>
      </c>
    </row>
    <row r="15" customFormat="false" ht="22.35" hidden="false" customHeight="false" outlineLevel="0" collapsed="false">
      <c r="A15" s="8" t="s">
        <v>733</v>
      </c>
      <c r="B15" s="8" t="s">
        <v>734</v>
      </c>
      <c r="C15" s="8" t="s">
        <v>735</v>
      </c>
      <c r="D15" s="8" t="s">
        <v>736</v>
      </c>
    </row>
    <row r="16" customFormat="false" ht="22.35" hidden="false" customHeight="false" outlineLevel="0" collapsed="false">
      <c r="A16" s="8" t="s">
        <v>737</v>
      </c>
      <c r="B16" s="8" t="s">
        <v>738</v>
      </c>
      <c r="C16" s="8" t="s">
        <v>739</v>
      </c>
      <c r="D16" s="8" t="s">
        <v>740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2026-07-05T12:57:05Z</dcterms:created>
  <dc:creator>openpyxl</dc:creator>
  <dc:description/>
  <dc:language>en-US</dc:language>
  <cp:lastModifiedBy/>
  <dcterms:modified xsi:type="dcterms:W3CDTF">2026-07-05T12:57:05Z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